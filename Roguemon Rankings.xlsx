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Comparison" sheetId="2" r:id="rId6"/>
    <sheet state="visible" name="Bug" sheetId="3" r:id="rId7"/>
    <sheet state="visible" name="Dark" sheetId="4" r:id="rId8"/>
    <sheet state="visible" name="Dragon" sheetId="5" r:id="rId9"/>
    <sheet state="visible" name="Electric" sheetId="6" r:id="rId10"/>
    <sheet state="visible" name="Fairy" sheetId="7" r:id="rId11"/>
    <sheet state="visible" name="Fighting" sheetId="8" r:id="rId12"/>
    <sheet state="visible" name="Fire" sheetId="9" r:id="rId13"/>
    <sheet state="visible" name="Flying" sheetId="10" r:id="rId14"/>
    <sheet state="visible" name="Ghost" sheetId="11" r:id="rId15"/>
    <sheet state="visible" name="Grass" sheetId="12" r:id="rId16"/>
    <sheet state="visible" name="Ground" sheetId="13" r:id="rId17"/>
    <sheet state="visible" name="Ice" sheetId="14" r:id="rId18"/>
    <sheet state="visible" name="Normal" sheetId="15" r:id="rId19"/>
    <sheet state="visible" name="Poison" sheetId="16" r:id="rId20"/>
    <sheet state="visible" name="Psychic" sheetId="17" r:id="rId21"/>
    <sheet state="visible" name="Rock" sheetId="18" r:id="rId22"/>
    <sheet state="visible" name="Steel" sheetId="19" r:id="rId23"/>
    <sheet state="visible" name="Water" sheetId="20" r:id="rId24"/>
    <sheet state="visible" name="Sprites" sheetId="21" r:id="rId25"/>
  </sheets>
  <definedNames>
    <definedName hidden="1" localSheetId="0" name="Z_D0BB8C76_E679_4F6F_9D72_4C3E708D9740_.wvu.FilterData">Introduction!$F$14</definedName>
  </definedNames>
  <calcPr/>
  <customWorkbookViews>
    <customWorkbookView activeSheetId="0" maximized="1" windowHeight="0" windowWidth="0" guid="{D0BB8C76-E679-4F6F-9D72-4C3E708D9740}" name="Filter 1"/>
  </customWorkbookViews>
</workbook>
</file>

<file path=xl/sharedStrings.xml><?xml version="1.0" encoding="utf-8"?>
<sst xmlns="http://schemas.openxmlformats.org/spreadsheetml/2006/main" count="2022" uniqueCount="484">
  <si>
    <t>Introduction and Purpose</t>
  </si>
  <si>
    <t>This document is intended to rank starting Pokemon options in Roguemon by type using specified criteria.</t>
  </si>
  <si>
    <t>Everything in this document is my opinion. None of it is objective fact. Some of this is going to be colored by personal experience. Some of it might be internally inconsistent, and I'm fine with that. This is a hobby project, not my job. However, if you really think I've done something egregious that needs calling out, DM me on Discord (ZogaOak on the Roguemon Discord).</t>
  </si>
  <si>
    <t>Use this as a guideline, not as a be-all end-all of which mon is best. I rank Basculin above Tentacool, but not every Basculin is going to be better than every Tentacool.</t>
  </si>
  <si>
    <t>Things I took into account when ranking Pokemon:</t>
  </si>
  <si>
    <r>
      <rPr>
        <rFont val="Arial"/>
        <b/>
        <color theme="1"/>
      </rPr>
      <t>The Pokemon's starting BST</t>
    </r>
    <r>
      <rPr>
        <rFont val="Arial"/>
        <color theme="1"/>
      </rPr>
      <t xml:space="preserve">, which influences the possibility of getting through early game and provides a more consistent look at the final spread of the Pokemon than a lower BST does. </t>
    </r>
    <r>
      <rPr>
        <rFont val="Arial"/>
        <b/>
        <color theme="1"/>
      </rPr>
      <t xml:space="preserve">This is aimed towards A3 </t>
    </r>
    <r>
      <rPr>
        <rFont val="Arial"/>
        <color theme="1"/>
      </rPr>
      <t>and takes into account whether a Pokemon is likely to survive long enough to evolve.</t>
    </r>
  </si>
  <si>
    <r>
      <rPr>
        <rFont val="Arial"/>
        <b/>
        <color theme="1"/>
      </rPr>
      <t>Evolution method</t>
    </r>
    <r>
      <rPr>
        <rFont val="Arial"/>
        <color theme="1"/>
      </rPr>
      <t>. Level-based is easiest to analyze. Friendship can sometimes be very easy and sometimes very difficult. Roguestone is the hardest method and the only one that may require a sacrifice, though it can be skill-testing to know when you need to upgrade and when you can afford to wait.</t>
    </r>
  </si>
  <si>
    <r>
      <rPr>
        <rFont val="Arial"/>
        <b/>
        <color theme="1"/>
      </rPr>
      <t>The number of moves a mon gains</t>
    </r>
    <r>
      <rPr>
        <rFont val="Arial"/>
        <color theme="1"/>
      </rPr>
      <t xml:space="preserve"> between Level 9 and the point where it evolves (or, in the case of Roguestone or Friendship, where I feel it's most likely to evolve - </t>
    </r>
    <r>
      <rPr>
        <rFont val="Arial"/>
        <b/>
        <color theme="1"/>
      </rPr>
      <t>this can be wrong</t>
    </r>
    <r>
      <rPr>
        <rFont val="Arial"/>
        <color theme="1"/>
      </rPr>
      <t>). For the purposes of this guide, I assume that all mons are caught at level 8.</t>
    </r>
  </si>
  <si>
    <r>
      <rPr>
        <rFont val="Arial"/>
        <b/>
        <color theme="1"/>
      </rPr>
      <t>The BST the mon would normally evolve into</t>
    </r>
    <r>
      <rPr>
        <rFont val="Arial"/>
        <color theme="1"/>
      </rPr>
      <t xml:space="preserve">. In Roguemon, evolutions are randomly chosen from a possible pool which consists of </t>
    </r>
    <r>
      <rPr>
        <rFont val="Arial"/>
        <b/>
        <color theme="1"/>
      </rPr>
      <t>Target BST +/- 10%.</t>
    </r>
    <r>
      <rPr>
        <rFont val="Arial"/>
        <color theme="1"/>
      </rPr>
      <t xml:space="preserve"> Mons that target 410 are very likely to evolve again into a higher BST mon. Mons that target 450 are likely to not evolve into anything great.</t>
    </r>
  </si>
  <si>
    <r>
      <rPr>
        <rFont val="Arial"/>
        <b/>
        <color theme="1"/>
      </rPr>
      <t>The mon's secondary type</t>
    </r>
    <r>
      <rPr>
        <rFont val="Arial"/>
        <color theme="1"/>
      </rPr>
      <t>. In addition to vulnerabilities and weaknesses, this also effects the mon's possible evolution. Even if a typing gives you more vulnerabilities (like Archen) or gives you a 4x weakness (like Amaura), it can be worth it to have the chance to evolve into a mon of a different typing. Not every type is equal.</t>
    </r>
  </si>
  <si>
    <t>Disclaimer</t>
  </si>
  <si>
    <t>A ranking or tier-based system for a luck-based game is going to be imperfect. A higher ranking does not mean a mon is better. Use this as a guide - if you have a Kubfu that's about as strong as a Crabrawler, the Kubfu is going to end up better on average. Low-ranking mons have beaten A2 - showcased by the Tyrogue community event - and A3.</t>
  </si>
  <si>
    <t>Corollary: If anyone ever streams a Wishiwashi victory in A2 or above, I will be well and truly shocked.</t>
  </si>
  <si>
    <t>I expand on picking mons in this document.</t>
  </si>
  <si>
    <t>Acknowledgements</t>
  </si>
  <si>
    <t>Roguemon was created by Crozwords and programmed by Something_Smart and alienth.</t>
  </si>
  <si>
    <t>Additional design has been provided in Discord by a number of people, particularly ZestyZMan and ThePorofessor.</t>
  </si>
  <si>
    <r>
      <rPr/>
      <t xml:space="preserve">Full rules are available at </t>
    </r>
    <r>
      <rPr>
        <color rgb="FF1155CC"/>
        <u/>
      </rPr>
      <t>roguemon.gg</t>
    </r>
  </si>
  <si>
    <t>Type</t>
  </si>
  <si>
    <t>Average BST</t>
  </si>
  <si>
    <t>Average Rating</t>
  </si>
  <si>
    <t>Roguestone%</t>
  </si>
  <si>
    <t>Fire</t>
  </si>
  <si>
    <t>Dragon</t>
  </si>
  <si>
    <t>Rock</t>
  </si>
  <si>
    <t>Dark</t>
  </si>
  <si>
    <t>Water</t>
  </si>
  <si>
    <t>Grass</t>
  </si>
  <si>
    <t>Poison</t>
  </si>
  <si>
    <t>Ghost</t>
  </si>
  <si>
    <t>Fighting</t>
  </si>
  <si>
    <t>Electric</t>
  </si>
  <si>
    <t>Flying</t>
  </si>
  <si>
    <t>Normal</t>
  </si>
  <si>
    <t>Psychic</t>
  </si>
  <si>
    <t>Ice</t>
  </si>
  <si>
    <t>Steel</t>
  </si>
  <si>
    <t>Fairy</t>
  </si>
  <si>
    <t>Ground</t>
  </si>
  <si>
    <t>Bug</t>
  </si>
  <si>
    <t>!</t>
  </si>
  <si>
    <t>Pokemon</t>
  </si>
  <si>
    <t>BST</t>
  </si>
  <si>
    <t>Evo method</t>
  </si>
  <si>
    <t>Target BST</t>
  </si>
  <si>
    <t>Moves 9 to Evo</t>
  </si>
  <si>
    <t>Alt Type</t>
  </si>
  <si>
    <t>Rating</t>
  </si>
  <si>
    <t>Ranking</t>
  </si>
  <si>
    <t>Number of mons</t>
  </si>
  <si>
    <t>Larvesta</t>
  </si>
  <si>
    <t>Level 40</t>
  </si>
  <si>
    <t>Yanma</t>
  </si>
  <si>
    <t>Level 33</t>
  </si>
  <si>
    <t>Sizzlipede</t>
  </si>
  <si>
    <t>Level 28</t>
  </si>
  <si>
    <t>Roguestone #</t>
  </si>
  <si>
    <t>Skorupi</t>
  </si>
  <si>
    <t>Roguestone %</t>
  </si>
  <si>
    <t>Anorith</t>
  </si>
  <si>
    <t>Ledyba</t>
  </si>
  <si>
    <t>Level 18</t>
  </si>
  <si>
    <t>Tarountula</t>
  </si>
  <si>
    <t>Level 15</t>
  </si>
  <si>
    <t>Grubbin</t>
  </si>
  <si>
    <t>Level 20</t>
  </si>
  <si>
    <t>Rellor</t>
  </si>
  <si>
    <t>Friendship</t>
  </si>
  <si>
    <t>Karrablast</t>
  </si>
  <si>
    <t>Roguestone</t>
  </si>
  <si>
    <t>Shelmet</t>
  </si>
  <si>
    <t>Burmy</t>
  </si>
  <si>
    <t>Spinarak</t>
  </si>
  <si>
    <t>Level 22</t>
  </si>
  <si>
    <t>Dwebble</t>
  </si>
  <si>
    <t>Level 34</t>
  </si>
  <si>
    <t>Cutiefly</t>
  </si>
  <si>
    <t>Level 25</t>
  </si>
  <si>
    <t>Venipede</t>
  </si>
  <si>
    <t>Venonat</t>
  </si>
  <si>
    <t>Level 31</t>
  </si>
  <si>
    <t>Joltik</t>
  </si>
  <si>
    <t>Level 36</t>
  </si>
  <si>
    <t>Kricketot</t>
  </si>
  <si>
    <t>Level 10</t>
  </si>
  <si>
    <t>Blipbug</t>
  </si>
  <si>
    <t>Paras</t>
  </si>
  <si>
    <t>Level 24</t>
  </si>
  <si>
    <t>Sewaddle</t>
  </si>
  <si>
    <t>Wimpod</t>
  </si>
  <si>
    <t>Level 30</t>
  </si>
  <si>
    <t>Nincada</t>
  </si>
  <si>
    <t>456/256</t>
  </si>
  <si>
    <t>Combee</t>
  </si>
  <si>
    <t>Level 21</t>
  </si>
  <si>
    <t>Pineco</t>
  </si>
  <si>
    <t>Nymble</t>
  </si>
  <si>
    <t>Snom</t>
  </si>
  <si>
    <t>Scatterbug</t>
  </si>
  <si>
    <t>Level 9</t>
  </si>
  <si>
    <t>Dewpider</t>
  </si>
  <si>
    <t>Surskit</t>
  </si>
  <si>
    <t>Weedle</t>
  </si>
  <si>
    <t>Level 7</t>
  </si>
  <si>
    <t>Caterpie</t>
  </si>
  <si>
    <t>Wurmple</t>
  </si>
  <si>
    <t>Qwi</t>
  </si>
  <si>
    <t>Qwilfish H</t>
  </si>
  <si>
    <t>Sneasel</t>
  </si>
  <si>
    <t>Zorua</t>
  </si>
  <si>
    <t>Murkrow</t>
  </si>
  <si>
    <t>Houndour</t>
  </si>
  <si>
    <t>Sableye</t>
  </si>
  <si>
    <t>BST/10</t>
  </si>
  <si>
    <t>Vullaby</t>
  </si>
  <si>
    <t>Level 42</t>
  </si>
  <si>
    <t>Deino</t>
  </si>
  <si>
    <t>Level 35</t>
  </si>
  <si>
    <t>Maschiff</t>
  </si>
  <si>
    <t>Grimer A</t>
  </si>
  <si>
    <t>Level 38</t>
  </si>
  <si>
    <t>Stunky</t>
  </si>
  <si>
    <t>Rattata A</t>
  </si>
  <si>
    <t>Poochyena</t>
  </si>
  <si>
    <t>Zigzagoon G</t>
  </si>
  <si>
    <t>Meowth A</t>
  </si>
  <si>
    <t>Pawniard</t>
  </si>
  <si>
    <t>Nickit</t>
  </si>
  <si>
    <t>Inkay</t>
  </si>
  <si>
    <t>Carvanha</t>
  </si>
  <si>
    <t>Impidimp</t>
  </si>
  <si>
    <t>Level 32</t>
  </si>
  <si>
    <t>Scraggy</t>
  </si>
  <si>
    <t>Level 39</t>
  </si>
  <si>
    <t>Sandile</t>
  </si>
  <si>
    <t>Level 29</t>
  </si>
  <si>
    <t>Purrloin</t>
  </si>
  <si>
    <t>Date</t>
  </si>
  <si>
    <t>Change</t>
  </si>
  <si>
    <t>Bumped Meowth A from 2 (rank 22) to 4 (rank 15). It evolves early and can evolve again. Will keep an eye on this, might move it up further.</t>
  </si>
  <si>
    <t>Sneasel moved down to rating 7.</t>
  </si>
  <si>
    <t>Bagon</t>
  </si>
  <si>
    <t>Dratini</t>
  </si>
  <si>
    <t>Tyrunt</t>
  </si>
  <si>
    <t>Gible</t>
  </si>
  <si>
    <t>Jangmo-O</t>
  </si>
  <si>
    <t>Axew</t>
  </si>
  <si>
    <t>Frigibax</t>
  </si>
  <si>
    <t>Goomy</t>
  </si>
  <si>
    <t>Dreepy</t>
  </si>
  <si>
    <t>Noibat</t>
  </si>
  <si>
    <t>Applin</t>
  </si>
  <si>
    <t>Axew from Rank 5 to 6 (Learns 11 moves, but it's still 320 BST that evolves after Misty), Goomy dropped to Rating 4 Ranking 9 (it's pure dragon, but it evolves at level 40, compared to Deino and Frigibax which have weaker typings but evolve before Misty).</t>
  </si>
  <si>
    <t>Plusle</t>
  </si>
  <si>
    <t>Minun</t>
  </si>
  <si>
    <t>Pachirisu</t>
  </si>
  <si>
    <t>Shinx</t>
  </si>
  <si>
    <t>Elekid</t>
  </si>
  <si>
    <t>Toxel</t>
  </si>
  <si>
    <t>Level 19</t>
  </si>
  <si>
    <t>Mareep</t>
  </si>
  <si>
    <t>Blitzle</t>
  </si>
  <si>
    <t>Level 27</t>
  </si>
  <si>
    <t>Voltorb</t>
  </si>
  <si>
    <t>Wattrel</t>
  </si>
  <si>
    <t>Yamper</t>
  </si>
  <si>
    <t>Geodude A</t>
  </si>
  <si>
    <t>Electrike</t>
  </si>
  <si>
    <t>Level 26</t>
  </si>
  <si>
    <t>Voltorb H</t>
  </si>
  <si>
    <t>Helioptile</t>
  </si>
  <si>
    <t>Pawmi</t>
  </si>
  <si>
    <t>Chinchou</t>
  </si>
  <si>
    <t>Pikachu C</t>
  </si>
  <si>
    <t>Tadbulb</t>
  </si>
  <si>
    <t>Magnemite</t>
  </si>
  <si>
    <t>Pichu</t>
  </si>
  <si>
    <t>Tynamo</t>
  </si>
  <si>
    <t>Shinx moved from Rating 5 Ranking 5 to Rating 6 Ranking 4. Moving Mareep up just below Toxel. Joltik down to a 2.</t>
  </si>
  <si>
    <t>Togepi</t>
  </si>
  <si>
    <t>Tinkatink</t>
  </si>
  <si>
    <t>Mawile</t>
  </si>
  <si>
    <t>Swirlix</t>
  </si>
  <si>
    <t>Spritzee</t>
  </si>
  <si>
    <t>Flabebe</t>
  </si>
  <si>
    <t>Milcery</t>
  </si>
  <si>
    <t>Mime Jr</t>
  </si>
  <si>
    <t>Fidough</t>
  </si>
  <si>
    <t>Snubbull</t>
  </si>
  <si>
    <t>Level 23</t>
  </si>
  <si>
    <t>Morelull</t>
  </si>
  <si>
    <t>Cottonee</t>
  </si>
  <si>
    <t>Cleffa</t>
  </si>
  <si>
    <t>Igglybuff</t>
  </si>
  <si>
    <t>Azurill</t>
  </si>
  <si>
    <t>Ralts</t>
  </si>
  <si>
    <t>Flabebe moved from Rating 3 to 5. Morelull moved above Cottonee in Rating 3. Togepi weirdly still best fairy.</t>
  </si>
  <si>
    <t>Kubfu</t>
  </si>
  <si>
    <t>Riolu</t>
  </si>
  <si>
    <t>Sneasel H</t>
  </si>
  <si>
    <t>Farfetchd G</t>
  </si>
  <si>
    <t>Mienfoo</t>
  </si>
  <si>
    <t>Stufful</t>
  </si>
  <si>
    <t>Pancham</t>
  </si>
  <si>
    <t>Timburr</t>
  </si>
  <si>
    <t>Machop</t>
  </si>
  <si>
    <t>Crabrawler</t>
  </si>
  <si>
    <t>Meditite</t>
  </si>
  <si>
    <t>Level 37</t>
  </si>
  <si>
    <t>Clobbopus</t>
  </si>
  <si>
    <t>Croagunk</t>
  </si>
  <si>
    <t>Mankey</t>
  </si>
  <si>
    <t>Makuhita</t>
  </si>
  <si>
    <t>Tyrogue</t>
  </si>
  <si>
    <t>Sneasel moved down to Rating 7.</t>
  </si>
  <si>
    <t>Growlithe</t>
  </si>
  <si>
    <t>Cyndaquil</t>
  </si>
  <si>
    <t>Level 14</t>
  </si>
  <si>
    <t>Torchic</t>
  </si>
  <si>
    <t>Level 16</t>
  </si>
  <si>
    <t>Litten</t>
  </si>
  <si>
    <t>Level 17</t>
  </si>
  <si>
    <t>Tepig</t>
  </si>
  <si>
    <t>Chimchar</t>
  </si>
  <si>
    <t>Fuecoco</t>
  </si>
  <si>
    <t>Fennekin</t>
  </si>
  <si>
    <t>Scorbunny</t>
  </si>
  <si>
    <t>Charmander</t>
  </si>
  <si>
    <t>Slugma</t>
  </si>
  <si>
    <t>Litleo</t>
  </si>
  <si>
    <t>Growlithe H</t>
  </si>
  <si>
    <t>Ponyta</t>
  </si>
  <si>
    <t>Charcadet</t>
  </si>
  <si>
    <t>Magby</t>
  </si>
  <si>
    <t>Pansear</t>
  </si>
  <si>
    <t>Vulpix</t>
  </si>
  <si>
    <t>Darumaka</t>
  </si>
  <si>
    <t>Salandit</t>
  </si>
  <si>
    <t>Litwick</t>
  </si>
  <si>
    <t>Numel</t>
  </si>
  <si>
    <t>Archen</t>
  </si>
  <si>
    <t>Gligar</t>
  </si>
  <si>
    <t>Rowlet</t>
  </si>
  <si>
    <t>Drifloon</t>
  </si>
  <si>
    <t>Mantyke</t>
  </si>
  <si>
    <t>Starly</t>
  </si>
  <si>
    <t>Rufflet</t>
  </si>
  <si>
    <t>Pikipek</t>
  </si>
  <si>
    <t>Fletchling</t>
  </si>
  <si>
    <t>Natu</t>
  </si>
  <si>
    <t>Doduo</t>
  </si>
  <si>
    <t>Woobat</t>
  </si>
  <si>
    <t>Rookidee</t>
  </si>
  <si>
    <t>Hoppip</t>
  </si>
  <si>
    <t>Farfetch'd</t>
  </si>
  <si>
    <t>Taillow</t>
  </si>
  <si>
    <t>Spearow</t>
  </si>
  <si>
    <t>Swablu</t>
  </si>
  <si>
    <t>Zubat</t>
  </si>
  <si>
    <t>Ducklett</t>
  </si>
  <si>
    <t>Pidgey</t>
  </si>
  <si>
    <t>Wingull</t>
  </si>
  <si>
    <t>Pidove</t>
  </si>
  <si>
    <t>Hoothoot</t>
  </si>
  <si>
    <t>Delibird</t>
  </si>
  <si>
    <t>Corsola G</t>
  </si>
  <si>
    <t>Zorua H</t>
  </si>
  <si>
    <t>Misdreavus</t>
  </si>
  <si>
    <t>Bramblin</t>
  </si>
  <si>
    <t>Gimmighoul</t>
  </si>
  <si>
    <t>Gastly</t>
  </si>
  <si>
    <t>Honedge</t>
  </si>
  <si>
    <t>Pumpkaboo</t>
  </si>
  <si>
    <t>Frillish</t>
  </si>
  <si>
    <t>Sinistea</t>
  </si>
  <si>
    <t>Polchgeist</t>
  </si>
  <si>
    <t>Yamask</t>
  </si>
  <si>
    <t>Yamask G</t>
  </si>
  <si>
    <t>Greavard</t>
  </si>
  <si>
    <t>Phantump</t>
  </si>
  <si>
    <t>Sandygast</t>
  </si>
  <si>
    <t>Golett</t>
  </si>
  <si>
    <t>Level 43</t>
  </si>
  <si>
    <t>Duskull</t>
  </si>
  <si>
    <t>Shuppet</t>
  </si>
  <si>
    <t>Tangela</t>
  </si>
  <si>
    <t>Skiddo</t>
  </si>
  <si>
    <t>Bulbasaur</t>
  </si>
  <si>
    <t>Sprigatito</t>
  </si>
  <si>
    <t>Treecko</t>
  </si>
  <si>
    <t>Snivy</t>
  </si>
  <si>
    <t>Turtwig</t>
  </si>
  <si>
    <t>Chikorita</t>
  </si>
  <si>
    <t>Chespin</t>
  </si>
  <si>
    <t>Grookey</t>
  </si>
  <si>
    <t>Exeggcute</t>
  </si>
  <si>
    <t>Deerling</t>
  </si>
  <si>
    <t>Oddish</t>
  </si>
  <si>
    <t>Bellsprout</t>
  </si>
  <si>
    <t>Budew</t>
  </si>
  <si>
    <t>Pansage</t>
  </si>
  <si>
    <t>Lileep</t>
  </si>
  <si>
    <t>Snover</t>
  </si>
  <si>
    <t>Cacnea</t>
  </si>
  <si>
    <t>Capsakid</t>
  </si>
  <si>
    <t>Toedscool</t>
  </si>
  <si>
    <t>Petilil</t>
  </si>
  <si>
    <t>Ferroseed</t>
  </si>
  <si>
    <t>Bounsweet</t>
  </si>
  <si>
    <t>Fomantis</t>
  </si>
  <si>
    <t>Lotad</t>
  </si>
  <si>
    <t>Seedot</t>
  </si>
  <si>
    <t>Sunkern</t>
  </si>
  <si>
    <t>Foongus</t>
  </si>
  <si>
    <t>Smoliv</t>
  </si>
  <si>
    <t>Gossifleur</t>
  </si>
  <si>
    <t>Cherubi</t>
  </si>
  <si>
    <t>Shroomish</t>
  </si>
  <si>
    <t>Mudbray</t>
  </si>
  <si>
    <t>Hippopotas</t>
  </si>
  <si>
    <t>Silicobra</t>
  </si>
  <si>
    <t>Phanpy</t>
  </si>
  <si>
    <t>Drilbur</t>
  </si>
  <si>
    <t>Cubone</t>
  </si>
  <si>
    <t>Baltoy</t>
  </si>
  <si>
    <t>Diglett</t>
  </si>
  <si>
    <t>Onix</t>
  </si>
  <si>
    <t>Diglett A</t>
  </si>
  <si>
    <t>Larvitar</t>
  </si>
  <si>
    <t>Rhyhorn</t>
  </si>
  <si>
    <t>Geodude</t>
  </si>
  <si>
    <t>Swinub</t>
  </si>
  <si>
    <t>Trapinch</t>
  </si>
  <si>
    <t>Sandshrew</t>
  </si>
  <si>
    <t>Barboach</t>
  </si>
  <si>
    <t>Wooper</t>
  </si>
  <si>
    <t>Wooper P</t>
  </si>
  <si>
    <t>Amaura</t>
  </si>
  <si>
    <t>Cetoddle</t>
  </si>
  <si>
    <t>Bergmite</t>
  </si>
  <si>
    <t>Cubchoo</t>
  </si>
  <si>
    <t>Vanillite</t>
  </si>
  <si>
    <t>Vulpix A</t>
  </si>
  <si>
    <t>Spheal</t>
  </si>
  <si>
    <t>Darumaka G</t>
  </si>
  <si>
    <t>Snorunt</t>
  </si>
  <si>
    <t>Roguestone/42</t>
  </si>
  <si>
    <t>Sandshrew A</t>
  </si>
  <si>
    <t>Smoochum</t>
  </si>
  <si>
    <t>Stantler</t>
  </si>
  <si>
    <t>Level 41</t>
  </si>
  <si>
    <t>Girafarig</t>
  </si>
  <si>
    <t>Munchlax</t>
  </si>
  <si>
    <t>Dunsparce</t>
  </si>
  <si>
    <t>Eevee</t>
  </si>
  <si>
    <t>Bidoof</t>
  </si>
  <si>
    <t>Lickitung</t>
  </si>
  <si>
    <t>Buneary</t>
  </si>
  <si>
    <t>Porygon</t>
  </si>
  <si>
    <t>Sentret</t>
  </si>
  <si>
    <t>Lillipup</t>
  </si>
  <si>
    <t>Teddiursa</t>
  </si>
  <si>
    <t>Rattata</t>
  </si>
  <si>
    <t>Aipom</t>
  </si>
  <si>
    <t>Lechonk</t>
  </si>
  <si>
    <t>Zigzagoon</t>
  </si>
  <si>
    <t>Bunnelby</t>
  </si>
  <si>
    <t>Slakoth</t>
  </si>
  <si>
    <t>Shroodle</t>
  </si>
  <si>
    <t>Patrat</t>
  </si>
  <si>
    <t>Tandemaus</t>
  </si>
  <si>
    <t>Skitty</t>
  </si>
  <si>
    <t>Meowth</t>
  </si>
  <si>
    <t>Minccino</t>
  </si>
  <si>
    <t>Spinda</t>
  </si>
  <si>
    <t>Glameow</t>
  </si>
  <si>
    <t>Yungoos</t>
  </si>
  <si>
    <t>Happiny</t>
  </si>
  <si>
    <t>Wooloo</t>
  </si>
  <si>
    <t>Skwovet</t>
  </si>
  <si>
    <t>Whismur</t>
  </si>
  <si>
    <t>Ditto</t>
  </si>
  <si>
    <t>Smeargle</t>
  </si>
  <si>
    <t>Poipole</t>
  </si>
  <si>
    <t>Level 50</t>
  </si>
  <si>
    <t>Tentacool</t>
  </si>
  <si>
    <t>♂/♀</t>
  </si>
  <si>
    <t>Nidoran</t>
  </si>
  <si>
    <t>Grimer</t>
  </si>
  <si>
    <t>Koffing</t>
  </si>
  <si>
    <t>Glimmet</t>
  </si>
  <si>
    <t>Skrelp</t>
  </si>
  <si>
    <t>Varoom</t>
  </si>
  <si>
    <t>Trubbish</t>
  </si>
  <si>
    <t>Mareanie</t>
  </si>
  <si>
    <t>Ekans</t>
  </si>
  <si>
    <t>Gulpin</t>
  </si>
  <si>
    <t>Sneasel moved down to rating 7. Added Nidoran - whoops</t>
  </si>
  <si>
    <t>Moved Glimmet down a lot. High BST good; late evo and quad weaknesses bad.</t>
  </si>
  <si>
    <t>Slowpoke</t>
  </si>
  <si>
    <t>Level 37/Rogue</t>
  </si>
  <si>
    <t>Abra</t>
  </si>
  <si>
    <t>Ponyta G</t>
  </si>
  <si>
    <t>Wynaut</t>
  </si>
  <si>
    <t>Slowpoke G</t>
  </si>
  <si>
    <t>Drowzee</t>
  </si>
  <si>
    <t>Cosmog</t>
  </si>
  <si>
    <t>Spoink</t>
  </si>
  <si>
    <t>Beldum</t>
  </si>
  <si>
    <t>Bronzor</t>
  </si>
  <si>
    <t>Espurr</t>
  </si>
  <si>
    <t>Gothita</t>
  </si>
  <si>
    <t>Solosis</t>
  </si>
  <si>
    <t>Elgyem</t>
  </si>
  <si>
    <t>Chingling</t>
  </si>
  <si>
    <t>Munna</t>
  </si>
  <si>
    <t>Hatenna</t>
  </si>
  <si>
    <t>Flittle</t>
  </si>
  <si>
    <t>!?</t>
  </si>
  <si>
    <t>Unown</t>
  </si>
  <si>
    <t>Nosepass</t>
  </si>
  <si>
    <t>Bonsly</t>
  </si>
  <si>
    <t>Cranidos</t>
  </si>
  <si>
    <t>Rolycoly</t>
  </si>
  <si>
    <t>Tirtouga</t>
  </si>
  <si>
    <t>Omanyte</t>
  </si>
  <si>
    <t>Kabuto</t>
  </si>
  <si>
    <t>Roggenrola</t>
  </si>
  <si>
    <t>Shieldon</t>
  </si>
  <si>
    <t>Binacle</t>
  </si>
  <si>
    <t>Rockruff</t>
  </si>
  <si>
    <t>Corsola</t>
  </si>
  <si>
    <t>Nacli</t>
  </si>
  <si>
    <t>Aron</t>
  </si>
  <si>
    <t>Moved Glimmet down a lot, 4x weakness and evolving after 24/25 is rough.</t>
  </si>
  <si>
    <t>Cufant</t>
  </si>
  <si>
    <t>Meowth G</t>
  </si>
  <si>
    <t>Klink</t>
  </si>
  <si>
    <t>Meltan</t>
  </si>
  <si>
    <t>Basculin W</t>
  </si>
  <si>
    <t>Wailmer</t>
  </si>
  <si>
    <t>Pyukumuku</t>
  </si>
  <si>
    <t>Quaxly</t>
  </si>
  <si>
    <t>Squirtle</t>
  </si>
  <si>
    <t>Mudkip</t>
  </si>
  <si>
    <t>Froakie</t>
  </si>
  <si>
    <t>Piplup</t>
  </si>
  <si>
    <t>Oshawott</t>
  </si>
  <si>
    <t>Popplio</t>
  </si>
  <si>
    <t>Totodile</t>
  </si>
  <si>
    <t>Sobble</t>
  </si>
  <si>
    <t>Staryu</t>
  </si>
  <si>
    <t>Shellder</t>
  </si>
  <si>
    <t>37/Rogue</t>
  </si>
  <si>
    <t>Psyduck</t>
  </si>
  <si>
    <t>Buizel</t>
  </si>
  <si>
    <t>Clauncher</t>
  </si>
  <si>
    <t>Panpour</t>
  </si>
  <si>
    <t>Luvdisc</t>
  </si>
  <si>
    <t>Krabby</t>
  </si>
  <si>
    <t>Shellos</t>
  </si>
  <si>
    <t>Seel</t>
  </si>
  <si>
    <t xml:space="preserve">I </t>
  </si>
  <si>
    <t>Remoraid</t>
  </si>
  <si>
    <t>Poliwag</t>
  </si>
  <si>
    <t>Finneon</t>
  </si>
  <si>
    <t>Corphish</t>
  </si>
  <si>
    <t>Goldeen</t>
  </si>
  <si>
    <t>Magikarp</t>
  </si>
  <si>
    <t>Arrokuda</t>
  </si>
  <si>
    <t>Chewtle</t>
  </si>
  <si>
    <t>Clamperl</t>
  </si>
  <si>
    <t>Finizen</t>
  </si>
  <si>
    <t>Horsea</t>
  </si>
  <si>
    <t>Tympole</t>
  </si>
  <si>
    <t>Wiglett</t>
  </si>
  <si>
    <t>Feebas</t>
  </si>
  <si>
    <t>Wishiwashi</t>
  </si>
  <si>
    <t>Sprite</t>
  </si>
  <si>
    <t>PumpkabooS</t>
  </si>
  <si>
    <t>PumpkabooL</t>
  </si>
  <si>
    <t>PumpkabooX</t>
  </si>
  <si>
    <t>Jangmo-o</t>
  </si>
  <si>
    <t>GimmighoulR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</si>
</sst>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8">
    <font>
      <sz val="10.0"/>
      <color rgb="FF000000"/>
      <name val="Arial"/>
      <scheme val="minor"/>
    </font>
    <font>
      <b/>
      <color theme="1"/>
      <name val="Arial"/>
      <scheme val="minor"/>
    </font>
    <font>
      <color theme="1"/>
      <name val="Arial"/>
      <scheme val="minor"/>
    </font>
    <font>
      <u/>
      <color rgb="FF0000FF"/>
    </font>
    <font>
      <b/>
      <color rgb="FFFFFFFF"/>
      <name val="Arial"/>
      <scheme val="minor"/>
    </font>
    <font>
      <b/>
      <sz val="15.0"/>
      <color theme="1"/>
      <name val="Arial"/>
      <scheme val="minor"/>
    </font>
    <font>
      <sz val="10.0"/>
      <color theme="1"/>
      <name val="Arial"/>
      <scheme val="minor"/>
    </font>
    <font>
      <sz val="2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3" numFmtId="0" xfId="0" applyAlignment="1" applyFont="1">
      <alignment horizontal="center" readingOrder="0" shrinkToFit="0" wrapText="1"/>
    </xf>
    <xf borderId="1" fillId="0" fontId="2" numFmtId="0" xfId="0" applyAlignment="1" applyBorder="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4" xfId="0" applyAlignment="1" applyFont="1" applyNumberFormat="1">
      <alignment shrinkToFit="0" vertical="center" wrapText="0"/>
    </xf>
    <xf borderId="0" fillId="0" fontId="2" numFmtId="10" xfId="0" applyAlignment="1" applyFont="1" applyNumberFormat="1">
      <alignment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shrinkToFit="0" vertical="center" wrapText="0"/>
    </xf>
    <xf borderId="0" fillId="0" fontId="1"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2" numFmtId="4" xfId="0" applyFont="1" applyNumberFormat="1"/>
    <xf borderId="0" fillId="0" fontId="2" numFmtId="0" xfId="0" applyFont="1"/>
    <xf borderId="0" fillId="0" fontId="2" numFmtId="10" xfId="0" applyFont="1" applyNumberFormat="1"/>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center"/>
    </xf>
    <xf borderId="0" fillId="0" fontId="1" numFmtId="0" xfId="0" applyFont="1"/>
    <xf borderId="0" fillId="0" fontId="1" numFmtId="0" xfId="0" applyAlignment="1" applyFont="1">
      <alignment horizontal="center"/>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readingOrder="0"/>
    </xf>
    <xf borderId="0" fillId="0" fontId="1" numFmtId="164" xfId="0" applyAlignment="1" applyFont="1" applyNumberFormat="1">
      <alignment horizontal="center" readingOrder="0" vertical="center"/>
    </xf>
    <xf borderId="0" fillId="0" fontId="2" numFmtId="0" xfId="0" applyAlignment="1" applyFont="1">
      <alignment readingOrder="0" shrinkToFit="0" wrapText="1"/>
    </xf>
    <xf borderId="0" fillId="0" fontId="1" numFmtId="164" xfId="0" applyAlignment="1" applyFont="1" applyNumberFormat="1">
      <alignment horizontal="center" readingOrder="0"/>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readingOrder="0" vertical="center"/>
    </xf>
    <xf borderId="0" fillId="0" fontId="2" numFmtId="0" xfId="0" applyAlignment="1" applyFont="1">
      <alignment horizontal="left" readingOrder="0" vertical="center"/>
    </xf>
    <xf borderId="0" fillId="0" fontId="2" numFmtId="0" xfId="0" applyAlignment="1" applyFont="1">
      <alignment horizontal="left" vertical="center"/>
    </xf>
    <xf borderId="0" fillId="0" fontId="1" numFmtId="0" xfId="0" applyAlignment="1" applyFont="1">
      <alignment horizontal="left"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readingOrder="0" vertical="center"/>
    </xf>
    <xf borderId="0" fillId="0" fontId="1" numFmtId="164"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0"/>
    </xf>
    <xf borderId="0" fillId="0" fontId="1" numFmtId="164" xfId="0" applyAlignment="1" applyFont="1" applyNumberFormat="1">
      <alignment readingOrder="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0" fontId="7" numFmtId="0" xfId="0" applyAlignment="1" applyFont="1">
      <alignment horizontal="center" vertical="center"/>
    </xf>
  </cellXfs>
  <cellStyles count="1">
    <cellStyle xfId="0" name="Normal" builtinId="0"/>
  </cellStyles>
  <dxfs count="1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4B500"/>
          <bgColor rgb="FFB4B500"/>
        </patternFill>
      </fill>
      <border/>
    </dxf>
    <dxf>
      <font/>
      <fill>
        <patternFill patternType="solid">
          <fgColor rgb="FF49564C"/>
          <bgColor rgb="FF49564C"/>
        </patternFill>
      </fill>
      <border/>
    </dxf>
    <dxf>
      <font/>
      <fill>
        <patternFill patternType="solid">
          <fgColor rgb="FF4A568D"/>
          <bgColor rgb="FF4A568D"/>
        </patternFill>
      </fill>
      <border/>
    </dxf>
    <dxf>
      <font/>
      <fill>
        <patternFill patternType="solid">
          <fgColor rgb="FFE67E00"/>
          <bgColor rgb="FFE67E00"/>
        </patternFill>
      </fill>
      <border/>
    </dxf>
    <dxf>
      <font/>
      <fill>
        <patternFill patternType="solid">
          <fgColor rgb="FFFF63AB"/>
          <bgColor rgb="FFFF63AB"/>
        </patternFill>
      </fill>
      <border/>
    </dxf>
    <dxf>
      <font/>
      <fill>
        <patternFill patternType="solid">
          <fgColor rgb="FF9B3642"/>
          <bgColor rgb="FF9B3642"/>
        </patternFill>
      </fill>
      <border/>
    </dxf>
    <dxf>
      <font/>
      <fill>
        <patternFill patternType="solid">
          <fgColor rgb="FFBB463C"/>
          <bgColor rgb="FFBB463C"/>
        </patternFill>
      </fill>
      <border/>
    </dxf>
    <dxf>
      <font/>
      <fill>
        <patternFill patternType="solid">
          <fgColor rgb="FFCB4D00"/>
          <bgColor rgb="FFCB4D00"/>
        </patternFill>
      </fill>
      <border/>
    </dxf>
    <dxf>
      <font/>
      <fill>
        <patternFill patternType="solid">
          <fgColor rgb="FF5B3F86"/>
          <bgColor rgb="FF5B3F86"/>
        </patternFill>
      </fill>
      <border/>
    </dxf>
    <dxf>
      <font/>
      <fill>
        <patternFill patternType="solid">
          <fgColor rgb="FF535FC1"/>
          <bgColor rgb="FF535FC1"/>
        </patternFill>
      </fill>
      <border/>
    </dxf>
    <dxf>
      <font/>
      <fill>
        <patternFill patternType="solid">
          <fgColor rgb="FF626E7A"/>
          <bgColor rgb="FF626E7A"/>
        </patternFill>
      </fill>
      <border/>
    </dxf>
    <dxf>
      <font/>
      <fill>
        <patternFill patternType="solid">
          <fgColor rgb="FF4A8D86"/>
          <bgColor rgb="FF4A8D86"/>
        </patternFill>
      </fill>
      <border/>
    </dxf>
  </dxfs>
  <tableStyles count="19">
    <tableStyle count="4" pivot="0" name="Comparison-style">
      <tableStyleElement dxfId="1" type="headerRow"/>
      <tableStyleElement dxfId="2" type="firstRowStripe"/>
      <tableStyleElement dxfId="3" type="secondRowStripe"/>
      <tableStyleElement dxfId="4" size="0" type="wholeTable"/>
    </tableStyle>
    <tableStyle count="4" pivot="0" name="Bug-style">
      <tableStyleElement dxfId="5" type="headerRow"/>
      <tableStyleElement dxfId="2" type="firstRowStripe"/>
      <tableStyleElement dxfId="3" type="secondRowStripe"/>
      <tableStyleElement dxfId="4" size="0" type="wholeTable"/>
    </tableStyle>
    <tableStyle count="4" pivot="0" name="Dark-style">
      <tableStyleElement dxfId="6" type="headerRow"/>
      <tableStyleElement dxfId="2" type="firstRowStripe"/>
      <tableStyleElement dxfId="3" type="secondRowStripe"/>
      <tableStyleElement dxfId="4" size="0" type="wholeTable"/>
    </tableStyle>
    <tableStyle count="4" pivot="0" name="Dragon-style">
      <tableStyleElement dxfId="7" type="headerRow"/>
      <tableStyleElement dxfId="2" type="firstRowStripe"/>
      <tableStyleElement dxfId="3" type="secondRowStripe"/>
      <tableStyleElement dxfId="4" size="0" type="wholeTable"/>
    </tableStyle>
    <tableStyle count="4" pivot="0" name="Electric-style">
      <tableStyleElement dxfId="8" type="headerRow"/>
      <tableStyleElement dxfId="2" type="firstRowStripe"/>
      <tableStyleElement dxfId="3" type="secondRowStripe"/>
      <tableStyleElement dxfId="4" size="0" type="wholeTable"/>
    </tableStyle>
    <tableStyle count="4" pivot="0" name="Fairy-style">
      <tableStyleElement dxfId="9" type="headerRow"/>
      <tableStyleElement dxfId="2" type="firstRowStripe"/>
      <tableStyleElement dxfId="3" type="secondRowStripe"/>
      <tableStyleElement dxfId="4" size="0" type="wholeTable"/>
    </tableStyle>
    <tableStyle count="4" pivot="0" name="Fighting-style">
      <tableStyleElement dxfId="10" type="headerRow"/>
      <tableStyleElement dxfId="2" type="firstRowStripe"/>
      <tableStyleElement dxfId="3" type="secondRowStripe"/>
      <tableStyleElement dxfId="4" size="0" type="wholeTable"/>
    </tableStyle>
    <tableStyle count="4" pivot="0" name="Fire-style">
      <tableStyleElement dxfId="11" type="headerRow"/>
      <tableStyleElement dxfId="2" type="firstRowStripe"/>
      <tableStyleElement dxfId="3" type="secondRowStripe"/>
      <tableStyleElement dxfId="4" size="0" type="wholeTable"/>
    </tableStyle>
    <tableStyle count="4" pivot="0" name="Flying-style">
      <tableStyleElement dxfId="12" type="headerRow"/>
      <tableStyleElement dxfId="2" type="firstRowStripe"/>
      <tableStyleElement dxfId="3" type="secondRowStripe"/>
      <tableStyleElement dxfId="4" size="0" type="wholeTable"/>
    </tableStyle>
    <tableStyle count="4" pivot="0" name="Ghost-style">
      <tableStyleElement dxfId="13" type="headerRow"/>
      <tableStyleElement dxfId="2" type="firstRowStripe"/>
      <tableStyleElement dxfId="3" type="secondRowStripe"/>
      <tableStyleElement dxfId="4" size="0" type="wholeTable"/>
    </tableStyle>
    <tableStyle count="4" pivot="0" name="Grass-style">
      <tableStyleElement dxfId="1" type="headerRow"/>
      <tableStyleElement dxfId="2" type="firstRowStripe"/>
      <tableStyleElement dxfId="3" type="secondRowStripe"/>
      <tableStyleElement dxfId="4" size="0" type="wholeTable"/>
    </tableStyle>
    <tableStyle count="4" pivot="0" name="Ground-style">
      <tableStyleElement dxfId="6" type="headerRow"/>
      <tableStyleElement dxfId="2" type="firstRowStripe"/>
      <tableStyleElement dxfId="3" type="secondRowStripe"/>
      <tableStyleElement dxfId="4" size="0" type="wholeTable"/>
    </tableStyle>
    <tableStyle count="4" pivot="0" name="Ice-style">
      <tableStyleElement dxfId="14" type="headerRow"/>
      <tableStyleElement dxfId="2" type="firstRowStripe"/>
      <tableStyleElement dxfId="3" type="secondRowStripe"/>
      <tableStyleElement dxfId="4" size="0" type="wholeTable"/>
    </tableStyle>
    <tableStyle count="4" pivot="0" name="Normal-style">
      <tableStyleElement dxfId="15" type="headerRow"/>
      <tableStyleElement dxfId="2" type="firstRowStripe"/>
      <tableStyleElement dxfId="3" type="secondRowStripe"/>
      <tableStyleElement dxfId="4" size="0" type="wholeTable"/>
    </tableStyle>
    <tableStyle count="4" pivot="0" name="Poison-style">
      <tableStyleElement dxfId="13" type="headerRow"/>
      <tableStyleElement dxfId="2" type="firstRowStripe"/>
      <tableStyleElement dxfId="3" type="secondRowStripe"/>
      <tableStyleElement dxfId="4" size="0" type="wholeTable"/>
    </tableStyle>
    <tableStyle count="4" pivot="0" name="Psychic-style">
      <tableStyleElement dxfId="13" type="headerRow"/>
      <tableStyleElement dxfId="2" type="firstRowStripe"/>
      <tableStyleElement dxfId="3" type="secondRowStripe"/>
      <tableStyleElement dxfId="4" size="0" type="wholeTable"/>
    </tableStyle>
    <tableStyle count="4" pivot="0" name="Rock-style">
      <tableStyleElement dxfId="6" type="headerRow"/>
      <tableStyleElement dxfId="2" type="firstRowStripe"/>
      <tableStyleElement dxfId="3" type="secondRowStripe"/>
      <tableStyleElement dxfId="4" size="0" type="wholeTable"/>
    </tableStyle>
    <tableStyle count="4" pivot="0" name="Steel-style">
      <tableStyleElement dxfId="15" type="headerRow"/>
      <tableStyleElement dxfId="2" type="firstRowStripe"/>
      <tableStyleElement dxfId="3" type="secondRowStripe"/>
      <tableStyleElement dxfId="4" size="0" type="wholeTable"/>
    </tableStyle>
    <tableStyle count="4" pivot="0" name="Water-style">
      <tableStyleElement dxfId="1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1.xml.rels><?xml version="1.0" encoding="UTF-8" standalone="yes"?><Relationships xmlns="http://schemas.openxmlformats.org/package/2006/relationships"><Relationship Id="rId40" Type="http://schemas.openxmlformats.org/officeDocument/2006/relationships/image" Target="../media/image30.png"/><Relationship Id="rId190" Type="http://schemas.openxmlformats.org/officeDocument/2006/relationships/image" Target="../media/image194.png"/><Relationship Id="rId42" Type="http://schemas.openxmlformats.org/officeDocument/2006/relationships/image" Target="../media/image33.png"/><Relationship Id="rId41" Type="http://schemas.openxmlformats.org/officeDocument/2006/relationships/image" Target="../media/image36.png"/><Relationship Id="rId44" Type="http://schemas.openxmlformats.org/officeDocument/2006/relationships/image" Target="../media/image27.png"/><Relationship Id="rId194" Type="http://schemas.openxmlformats.org/officeDocument/2006/relationships/image" Target="../media/image189.png"/><Relationship Id="rId43" Type="http://schemas.openxmlformats.org/officeDocument/2006/relationships/image" Target="../media/image85.png"/><Relationship Id="rId193" Type="http://schemas.openxmlformats.org/officeDocument/2006/relationships/image" Target="../media/image193.png"/><Relationship Id="rId46" Type="http://schemas.openxmlformats.org/officeDocument/2006/relationships/image" Target="../media/image35.png"/><Relationship Id="rId192" Type="http://schemas.openxmlformats.org/officeDocument/2006/relationships/image" Target="../media/image236.png"/><Relationship Id="rId45" Type="http://schemas.openxmlformats.org/officeDocument/2006/relationships/image" Target="../media/image24.png"/><Relationship Id="rId191" Type="http://schemas.openxmlformats.org/officeDocument/2006/relationships/image" Target="../media/image209.png"/><Relationship Id="rId48" Type="http://schemas.openxmlformats.org/officeDocument/2006/relationships/image" Target="../media/image56.png"/><Relationship Id="rId187" Type="http://schemas.openxmlformats.org/officeDocument/2006/relationships/image" Target="../media/image181.png"/><Relationship Id="rId47" Type="http://schemas.openxmlformats.org/officeDocument/2006/relationships/image" Target="../media/image1.png"/><Relationship Id="rId186" Type="http://schemas.openxmlformats.org/officeDocument/2006/relationships/image" Target="../media/image180.png"/><Relationship Id="rId185" Type="http://schemas.openxmlformats.org/officeDocument/2006/relationships/image" Target="../media/image163.png"/><Relationship Id="rId49" Type="http://schemas.openxmlformats.org/officeDocument/2006/relationships/image" Target="../media/image22.png"/><Relationship Id="rId184" Type="http://schemas.openxmlformats.org/officeDocument/2006/relationships/image" Target="../media/image196.png"/><Relationship Id="rId189" Type="http://schemas.openxmlformats.org/officeDocument/2006/relationships/image" Target="../media/image183.png"/><Relationship Id="rId188" Type="http://schemas.openxmlformats.org/officeDocument/2006/relationships/image" Target="../media/image187.png"/><Relationship Id="rId31" Type="http://schemas.openxmlformats.org/officeDocument/2006/relationships/image" Target="../media/image34.png"/><Relationship Id="rId30" Type="http://schemas.openxmlformats.org/officeDocument/2006/relationships/image" Target="../media/image28.png"/><Relationship Id="rId33" Type="http://schemas.openxmlformats.org/officeDocument/2006/relationships/image" Target="../media/image46.png"/><Relationship Id="rId183" Type="http://schemas.openxmlformats.org/officeDocument/2006/relationships/image" Target="../media/image202.png"/><Relationship Id="rId32" Type="http://schemas.openxmlformats.org/officeDocument/2006/relationships/image" Target="../media/image5.png"/><Relationship Id="rId182" Type="http://schemas.openxmlformats.org/officeDocument/2006/relationships/image" Target="../media/image175.png"/><Relationship Id="rId35" Type="http://schemas.openxmlformats.org/officeDocument/2006/relationships/image" Target="../media/image8.png"/><Relationship Id="rId181" Type="http://schemas.openxmlformats.org/officeDocument/2006/relationships/image" Target="../media/image169.png"/><Relationship Id="rId34" Type="http://schemas.openxmlformats.org/officeDocument/2006/relationships/image" Target="../media/image23.png"/><Relationship Id="rId180" Type="http://schemas.openxmlformats.org/officeDocument/2006/relationships/image" Target="../media/image203.png"/><Relationship Id="rId37" Type="http://schemas.openxmlformats.org/officeDocument/2006/relationships/image" Target="../media/image19.png"/><Relationship Id="rId176" Type="http://schemas.openxmlformats.org/officeDocument/2006/relationships/image" Target="../media/image165.png"/><Relationship Id="rId297" Type="http://schemas.openxmlformats.org/officeDocument/2006/relationships/image" Target="../media/image284.png"/><Relationship Id="rId36" Type="http://schemas.openxmlformats.org/officeDocument/2006/relationships/image" Target="../media/image7.png"/><Relationship Id="rId175" Type="http://schemas.openxmlformats.org/officeDocument/2006/relationships/image" Target="../media/image156.png"/><Relationship Id="rId296" Type="http://schemas.openxmlformats.org/officeDocument/2006/relationships/image" Target="../media/image277.png"/><Relationship Id="rId39" Type="http://schemas.openxmlformats.org/officeDocument/2006/relationships/image" Target="../media/image42.png"/><Relationship Id="rId174" Type="http://schemas.openxmlformats.org/officeDocument/2006/relationships/image" Target="../media/image149.png"/><Relationship Id="rId295" Type="http://schemas.openxmlformats.org/officeDocument/2006/relationships/image" Target="../media/image297.png"/><Relationship Id="rId38" Type="http://schemas.openxmlformats.org/officeDocument/2006/relationships/image" Target="../media/image31.png"/><Relationship Id="rId173" Type="http://schemas.openxmlformats.org/officeDocument/2006/relationships/image" Target="../media/image178.png"/><Relationship Id="rId294" Type="http://schemas.openxmlformats.org/officeDocument/2006/relationships/image" Target="../media/image302.png"/><Relationship Id="rId179" Type="http://schemas.openxmlformats.org/officeDocument/2006/relationships/image" Target="../media/image184.png"/><Relationship Id="rId178" Type="http://schemas.openxmlformats.org/officeDocument/2006/relationships/image" Target="../media/image177.png"/><Relationship Id="rId299" Type="http://schemas.openxmlformats.org/officeDocument/2006/relationships/image" Target="../media/image369.png"/><Relationship Id="rId177" Type="http://schemas.openxmlformats.org/officeDocument/2006/relationships/image" Target="../media/image179.png"/><Relationship Id="rId298" Type="http://schemas.openxmlformats.org/officeDocument/2006/relationships/image" Target="../media/image315.png"/><Relationship Id="rId20" Type="http://schemas.openxmlformats.org/officeDocument/2006/relationships/image" Target="../media/image29.png"/><Relationship Id="rId22" Type="http://schemas.openxmlformats.org/officeDocument/2006/relationships/image" Target="../media/image72.png"/><Relationship Id="rId21" Type="http://schemas.openxmlformats.org/officeDocument/2006/relationships/image" Target="../media/image26.png"/><Relationship Id="rId24" Type="http://schemas.openxmlformats.org/officeDocument/2006/relationships/image" Target="../media/image43.png"/><Relationship Id="rId23" Type="http://schemas.openxmlformats.org/officeDocument/2006/relationships/image" Target="../media/image16.png"/><Relationship Id="rId26" Type="http://schemas.openxmlformats.org/officeDocument/2006/relationships/image" Target="../media/image21.png"/><Relationship Id="rId25" Type="http://schemas.openxmlformats.org/officeDocument/2006/relationships/image" Target="../media/image25.png"/><Relationship Id="rId28" Type="http://schemas.openxmlformats.org/officeDocument/2006/relationships/image" Target="../media/image17.png"/><Relationship Id="rId27" Type="http://schemas.openxmlformats.org/officeDocument/2006/relationships/image" Target="../media/image80.png"/><Relationship Id="rId29" Type="http://schemas.openxmlformats.org/officeDocument/2006/relationships/image" Target="../media/image11.png"/><Relationship Id="rId11" Type="http://schemas.openxmlformats.org/officeDocument/2006/relationships/image" Target="../media/image2.png"/><Relationship Id="rId10" Type="http://schemas.openxmlformats.org/officeDocument/2006/relationships/image" Target="../media/image40.png"/><Relationship Id="rId13" Type="http://schemas.openxmlformats.org/officeDocument/2006/relationships/image" Target="../media/image47.png"/><Relationship Id="rId12" Type="http://schemas.openxmlformats.org/officeDocument/2006/relationships/image" Target="../media/image54.png"/><Relationship Id="rId15" Type="http://schemas.openxmlformats.org/officeDocument/2006/relationships/image" Target="../media/image39.png"/><Relationship Id="rId198" Type="http://schemas.openxmlformats.org/officeDocument/2006/relationships/image" Target="../media/image198.png"/><Relationship Id="rId14" Type="http://schemas.openxmlformats.org/officeDocument/2006/relationships/image" Target="../media/image9.png"/><Relationship Id="rId197" Type="http://schemas.openxmlformats.org/officeDocument/2006/relationships/image" Target="../media/image186.png"/><Relationship Id="rId17" Type="http://schemas.openxmlformats.org/officeDocument/2006/relationships/image" Target="../media/image41.png"/><Relationship Id="rId196" Type="http://schemas.openxmlformats.org/officeDocument/2006/relationships/image" Target="../media/image199.png"/><Relationship Id="rId16" Type="http://schemas.openxmlformats.org/officeDocument/2006/relationships/image" Target="../media/image45.png"/><Relationship Id="rId195" Type="http://schemas.openxmlformats.org/officeDocument/2006/relationships/image" Target="../media/image188.png"/><Relationship Id="rId19" Type="http://schemas.openxmlformats.org/officeDocument/2006/relationships/image" Target="../media/image15.png"/><Relationship Id="rId18" Type="http://schemas.openxmlformats.org/officeDocument/2006/relationships/image" Target="../media/image51.png"/><Relationship Id="rId199" Type="http://schemas.openxmlformats.org/officeDocument/2006/relationships/image" Target="../media/image182.png"/><Relationship Id="rId84" Type="http://schemas.openxmlformats.org/officeDocument/2006/relationships/image" Target="../media/image93.png"/><Relationship Id="rId83" Type="http://schemas.openxmlformats.org/officeDocument/2006/relationships/image" Target="../media/image102.png"/><Relationship Id="rId86" Type="http://schemas.openxmlformats.org/officeDocument/2006/relationships/image" Target="../media/image95.png"/><Relationship Id="rId85" Type="http://schemas.openxmlformats.org/officeDocument/2006/relationships/image" Target="../media/image62.png"/><Relationship Id="rId88" Type="http://schemas.openxmlformats.org/officeDocument/2006/relationships/image" Target="../media/image119.png"/><Relationship Id="rId150" Type="http://schemas.openxmlformats.org/officeDocument/2006/relationships/image" Target="../media/image160.png"/><Relationship Id="rId271" Type="http://schemas.openxmlformats.org/officeDocument/2006/relationships/image" Target="../media/image263.png"/><Relationship Id="rId87" Type="http://schemas.openxmlformats.org/officeDocument/2006/relationships/image" Target="../media/image77.png"/><Relationship Id="rId270" Type="http://schemas.openxmlformats.org/officeDocument/2006/relationships/image" Target="../media/image290.png"/><Relationship Id="rId89" Type="http://schemas.openxmlformats.org/officeDocument/2006/relationships/image" Target="../media/image69.png"/><Relationship Id="rId80" Type="http://schemas.openxmlformats.org/officeDocument/2006/relationships/image" Target="../media/image59.png"/><Relationship Id="rId82" Type="http://schemas.openxmlformats.org/officeDocument/2006/relationships/image" Target="../media/image78.png"/><Relationship Id="rId81" Type="http://schemas.openxmlformats.org/officeDocument/2006/relationships/image" Target="../media/image108.png"/><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8.png"/><Relationship Id="rId149" Type="http://schemas.openxmlformats.org/officeDocument/2006/relationships/image" Target="../media/image154.png"/><Relationship Id="rId4" Type="http://schemas.openxmlformats.org/officeDocument/2006/relationships/image" Target="../media/image44.png"/><Relationship Id="rId148" Type="http://schemas.openxmlformats.org/officeDocument/2006/relationships/image" Target="../media/image104.png"/><Relationship Id="rId269" Type="http://schemas.openxmlformats.org/officeDocument/2006/relationships/image" Target="../media/image254.png"/><Relationship Id="rId9" Type="http://schemas.openxmlformats.org/officeDocument/2006/relationships/image" Target="../media/image48.png"/><Relationship Id="rId143" Type="http://schemas.openxmlformats.org/officeDocument/2006/relationships/image" Target="../media/image127.png"/><Relationship Id="rId264" Type="http://schemas.openxmlformats.org/officeDocument/2006/relationships/image" Target="../media/image243.png"/><Relationship Id="rId142" Type="http://schemas.openxmlformats.org/officeDocument/2006/relationships/image" Target="../media/image161.png"/><Relationship Id="rId263" Type="http://schemas.openxmlformats.org/officeDocument/2006/relationships/image" Target="../media/image257.png"/><Relationship Id="rId141" Type="http://schemas.openxmlformats.org/officeDocument/2006/relationships/image" Target="../media/image140.png"/><Relationship Id="rId262" Type="http://schemas.openxmlformats.org/officeDocument/2006/relationships/image" Target="../media/image242.png"/><Relationship Id="rId140" Type="http://schemas.openxmlformats.org/officeDocument/2006/relationships/image" Target="../media/image145.png"/><Relationship Id="rId261" Type="http://schemas.openxmlformats.org/officeDocument/2006/relationships/image" Target="../media/image247.png"/><Relationship Id="rId5" Type="http://schemas.openxmlformats.org/officeDocument/2006/relationships/image" Target="../media/image13.png"/><Relationship Id="rId147" Type="http://schemas.openxmlformats.org/officeDocument/2006/relationships/image" Target="../media/image134.png"/><Relationship Id="rId268" Type="http://schemas.openxmlformats.org/officeDocument/2006/relationships/image" Target="../media/image266.png"/><Relationship Id="rId6" Type="http://schemas.openxmlformats.org/officeDocument/2006/relationships/image" Target="../media/image10.png"/><Relationship Id="rId146" Type="http://schemas.openxmlformats.org/officeDocument/2006/relationships/image" Target="../media/image133.png"/><Relationship Id="rId267" Type="http://schemas.openxmlformats.org/officeDocument/2006/relationships/image" Target="../media/image264.png"/><Relationship Id="rId7" Type="http://schemas.openxmlformats.org/officeDocument/2006/relationships/image" Target="../media/image57.png"/><Relationship Id="rId145" Type="http://schemas.openxmlformats.org/officeDocument/2006/relationships/image" Target="../media/image129.png"/><Relationship Id="rId266" Type="http://schemas.openxmlformats.org/officeDocument/2006/relationships/image" Target="../media/image286.png"/><Relationship Id="rId8" Type="http://schemas.openxmlformats.org/officeDocument/2006/relationships/image" Target="../media/image18.png"/><Relationship Id="rId144" Type="http://schemas.openxmlformats.org/officeDocument/2006/relationships/image" Target="../media/image155.png"/><Relationship Id="rId265" Type="http://schemas.openxmlformats.org/officeDocument/2006/relationships/image" Target="../media/image245.png"/><Relationship Id="rId73" Type="http://schemas.openxmlformats.org/officeDocument/2006/relationships/image" Target="../media/image86.png"/><Relationship Id="rId72" Type="http://schemas.openxmlformats.org/officeDocument/2006/relationships/image" Target="../media/image50.png"/><Relationship Id="rId75" Type="http://schemas.openxmlformats.org/officeDocument/2006/relationships/image" Target="../media/image109.png"/><Relationship Id="rId74" Type="http://schemas.openxmlformats.org/officeDocument/2006/relationships/image" Target="../media/image58.png"/><Relationship Id="rId77" Type="http://schemas.openxmlformats.org/officeDocument/2006/relationships/image" Target="../media/image52.png"/><Relationship Id="rId260" Type="http://schemas.openxmlformats.org/officeDocument/2006/relationships/image" Target="../media/image288.png"/><Relationship Id="rId76" Type="http://schemas.openxmlformats.org/officeDocument/2006/relationships/image" Target="../media/image128.png"/><Relationship Id="rId79" Type="http://schemas.openxmlformats.org/officeDocument/2006/relationships/image" Target="../media/image107.png"/><Relationship Id="rId78" Type="http://schemas.openxmlformats.org/officeDocument/2006/relationships/image" Target="../media/image94.png"/><Relationship Id="rId71" Type="http://schemas.openxmlformats.org/officeDocument/2006/relationships/image" Target="../media/image60.png"/><Relationship Id="rId70" Type="http://schemas.openxmlformats.org/officeDocument/2006/relationships/image" Target="../media/image66.png"/><Relationship Id="rId139" Type="http://schemas.openxmlformats.org/officeDocument/2006/relationships/image" Target="../media/image142.png"/><Relationship Id="rId138" Type="http://schemas.openxmlformats.org/officeDocument/2006/relationships/image" Target="../media/image113.png"/><Relationship Id="rId259" Type="http://schemas.openxmlformats.org/officeDocument/2006/relationships/image" Target="../media/image278.png"/><Relationship Id="rId137" Type="http://schemas.openxmlformats.org/officeDocument/2006/relationships/image" Target="../media/image137.png"/><Relationship Id="rId258" Type="http://schemas.openxmlformats.org/officeDocument/2006/relationships/image" Target="../media/image267.png"/><Relationship Id="rId132" Type="http://schemas.openxmlformats.org/officeDocument/2006/relationships/image" Target="../media/image117.png"/><Relationship Id="rId253" Type="http://schemas.openxmlformats.org/officeDocument/2006/relationships/image" Target="../media/image244.png"/><Relationship Id="rId131" Type="http://schemas.openxmlformats.org/officeDocument/2006/relationships/image" Target="../media/image105.png"/><Relationship Id="rId252" Type="http://schemas.openxmlformats.org/officeDocument/2006/relationships/image" Target="../media/image279.png"/><Relationship Id="rId130" Type="http://schemas.openxmlformats.org/officeDocument/2006/relationships/image" Target="../media/image131.png"/><Relationship Id="rId251" Type="http://schemas.openxmlformats.org/officeDocument/2006/relationships/image" Target="../media/image274.png"/><Relationship Id="rId372" Type="http://schemas.openxmlformats.org/officeDocument/2006/relationships/image" Target="../media/image342.png"/><Relationship Id="rId250" Type="http://schemas.openxmlformats.org/officeDocument/2006/relationships/image" Target="../media/image252.png"/><Relationship Id="rId371" Type="http://schemas.openxmlformats.org/officeDocument/2006/relationships/image" Target="../media/image358.png"/><Relationship Id="rId136" Type="http://schemas.openxmlformats.org/officeDocument/2006/relationships/image" Target="../media/image124.png"/><Relationship Id="rId257" Type="http://schemas.openxmlformats.org/officeDocument/2006/relationships/image" Target="../media/image299.png"/><Relationship Id="rId135" Type="http://schemas.openxmlformats.org/officeDocument/2006/relationships/image" Target="../media/image122.png"/><Relationship Id="rId256" Type="http://schemas.openxmlformats.org/officeDocument/2006/relationships/image" Target="../media/image238.png"/><Relationship Id="rId134" Type="http://schemas.openxmlformats.org/officeDocument/2006/relationships/image" Target="../media/image132.png"/><Relationship Id="rId255" Type="http://schemas.openxmlformats.org/officeDocument/2006/relationships/image" Target="../media/image275.png"/><Relationship Id="rId133" Type="http://schemas.openxmlformats.org/officeDocument/2006/relationships/image" Target="../media/image224.png"/><Relationship Id="rId254" Type="http://schemas.openxmlformats.org/officeDocument/2006/relationships/image" Target="../media/image232.png"/><Relationship Id="rId62" Type="http://schemas.openxmlformats.org/officeDocument/2006/relationships/image" Target="../media/image63.png"/><Relationship Id="rId61" Type="http://schemas.openxmlformats.org/officeDocument/2006/relationships/image" Target="../media/image81.png"/><Relationship Id="rId64" Type="http://schemas.openxmlformats.org/officeDocument/2006/relationships/image" Target="../media/image49.png"/><Relationship Id="rId63" Type="http://schemas.openxmlformats.org/officeDocument/2006/relationships/image" Target="../media/image83.png"/><Relationship Id="rId66" Type="http://schemas.openxmlformats.org/officeDocument/2006/relationships/image" Target="../media/image55.png"/><Relationship Id="rId172" Type="http://schemas.openxmlformats.org/officeDocument/2006/relationships/image" Target="../media/image146.png"/><Relationship Id="rId293" Type="http://schemas.openxmlformats.org/officeDocument/2006/relationships/image" Target="../media/image270.png"/><Relationship Id="rId65" Type="http://schemas.openxmlformats.org/officeDocument/2006/relationships/image" Target="../media/image99.png"/><Relationship Id="rId171" Type="http://schemas.openxmlformats.org/officeDocument/2006/relationships/image" Target="../media/image153.png"/><Relationship Id="rId292" Type="http://schemas.openxmlformats.org/officeDocument/2006/relationships/image" Target="../media/image262.png"/><Relationship Id="rId68" Type="http://schemas.openxmlformats.org/officeDocument/2006/relationships/image" Target="../media/image65.png"/><Relationship Id="rId170" Type="http://schemas.openxmlformats.org/officeDocument/2006/relationships/image" Target="../media/image174.png"/><Relationship Id="rId291" Type="http://schemas.openxmlformats.org/officeDocument/2006/relationships/image" Target="../media/image305.png"/><Relationship Id="rId67" Type="http://schemas.openxmlformats.org/officeDocument/2006/relationships/image" Target="../media/image76.png"/><Relationship Id="rId290" Type="http://schemas.openxmlformats.org/officeDocument/2006/relationships/image" Target="../media/image289.png"/><Relationship Id="rId60" Type="http://schemas.openxmlformats.org/officeDocument/2006/relationships/image" Target="../media/image87.png"/><Relationship Id="rId165" Type="http://schemas.openxmlformats.org/officeDocument/2006/relationships/image" Target="../media/image148.png"/><Relationship Id="rId286" Type="http://schemas.openxmlformats.org/officeDocument/2006/relationships/image" Target="../media/image293.png"/><Relationship Id="rId69" Type="http://schemas.openxmlformats.org/officeDocument/2006/relationships/image" Target="../media/image75.png"/><Relationship Id="rId164" Type="http://schemas.openxmlformats.org/officeDocument/2006/relationships/image" Target="../media/image147.png"/><Relationship Id="rId285" Type="http://schemas.openxmlformats.org/officeDocument/2006/relationships/image" Target="../media/image291.png"/><Relationship Id="rId163" Type="http://schemas.openxmlformats.org/officeDocument/2006/relationships/image" Target="../media/image171.png"/><Relationship Id="rId284" Type="http://schemas.openxmlformats.org/officeDocument/2006/relationships/image" Target="../media/image268.png"/><Relationship Id="rId162" Type="http://schemas.openxmlformats.org/officeDocument/2006/relationships/image" Target="../media/image168.png"/><Relationship Id="rId283" Type="http://schemas.openxmlformats.org/officeDocument/2006/relationships/image" Target="../media/image276.png"/><Relationship Id="rId169" Type="http://schemas.openxmlformats.org/officeDocument/2006/relationships/image" Target="../media/image164.png"/><Relationship Id="rId168" Type="http://schemas.openxmlformats.org/officeDocument/2006/relationships/image" Target="../media/image166.png"/><Relationship Id="rId289" Type="http://schemas.openxmlformats.org/officeDocument/2006/relationships/image" Target="../media/image280.png"/><Relationship Id="rId167" Type="http://schemas.openxmlformats.org/officeDocument/2006/relationships/image" Target="../media/image172.png"/><Relationship Id="rId288" Type="http://schemas.openxmlformats.org/officeDocument/2006/relationships/image" Target="../media/image273.png"/><Relationship Id="rId166" Type="http://schemas.openxmlformats.org/officeDocument/2006/relationships/image" Target="../media/image143.png"/><Relationship Id="rId287" Type="http://schemas.openxmlformats.org/officeDocument/2006/relationships/image" Target="../media/image271.png"/><Relationship Id="rId51" Type="http://schemas.openxmlformats.org/officeDocument/2006/relationships/image" Target="../media/image53.png"/><Relationship Id="rId50" Type="http://schemas.openxmlformats.org/officeDocument/2006/relationships/image" Target="../media/image6.png"/><Relationship Id="rId53" Type="http://schemas.openxmlformats.org/officeDocument/2006/relationships/image" Target="../media/image38.png"/><Relationship Id="rId52" Type="http://schemas.openxmlformats.org/officeDocument/2006/relationships/image" Target="../media/image12.png"/><Relationship Id="rId55" Type="http://schemas.openxmlformats.org/officeDocument/2006/relationships/image" Target="../media/image96.png"/><Relationship Id="rId161" Type="http://schemas.openxmlformats.org/officeDocument/2006/relationships/image" Target="../media/image157.png"/><Relationship Id="rId282" Type="http://schemas.openxmlformats.org/officeDocument/2006/relationships/image" Target="../media/image251.png"/><Relationship Id="rId54" Type="http://schemas.openxmlformats.org/officeDocument/2006/relationships/image" Target="../media/image14.png"/><Relationship Id="rId160" Type="http://schemas.openxmlformats.org/officeDocument/2006/relationships/image" Target="../media/image123.png"/><Relationship Id="rId281" Type="http://schemas.openxmlformats.org/officeDocument/2006/relationships/image" Target="../media/image306.png"/><Relationship Id="rId57" Type="http://schemas.openxmlformats.org/officeDocument/2006/relationships/image" Target="../media/image73.png"/><Relationship Id="rId280" Type="http://schemas.openxmlformats.org/officeDocument/2006/relationships/image" Target="../media/image285.png"/><Relationship Id="rId56" Type="http://schemas.openxmlformats.org/officeDocument/2006/relationships/image" Target="../media/image37.png"/><Relationship Id="rId159" Type="http://schemas.openxmlformats.org/officeDocument/2006/relationships/image" Target="../media/image144.png"/><Relationship Id="rId59" Type="http://schemas.openxmlformats.org/officeDocument/2006/relationships/image" Target="../media/image32.png"/><Relationship Id="rId154" Type="http://schemas.openxmlformats.org/officeDocument/2006/relationships/image" Target="../media/image213.png"/><Relationship Id="rId275" Type="http://schemas.openxmlformats.org/officeDocument/2006/relationships/image" Target="../media/image272.png"/><Relationship Id="rId58" Type="http://schemas.openxmlformats.org/officeDocument/2006/relationships/image" Target="../media/image20.png"/><Relationship Id="rId153" Type="http://schemas.openxmlformats.org/officeDocument/2006/relationships/image" Target="../media/image176.png"/><Relationship Id="rId274" Type="http://schemas.openxmlformats.org/officeDocument/2006/relationships/image" Target="../media/image255.png"/><Relationship Id="rId152" Type="http://schemas.openxmlformats.org/officeDocument/2006/relationships/image" Target="../media/image136.png"/><Relationship Id="rId273" Type="http://schemas.openxmlformats.org/officeDocument/2006/relationships/image" Target="../media/image256.png"/><Relationship Id="rId151" Type="http://schemas.openxmlformats.org/officeDocument/2006/relationships/image" Target="../media/image120.png"/><Relationship Id="rId272" Type="http://schemas.openxmlformats.org/officeDocument/2006/relationships/image" Target="../media/image259.png"/><Relationship Id="rId158" Type="http://schemas.openxmlformats.org/officeDocument/2006/relationships/image" Target="../media/image162.png"/><Relationship Id="rId279" Type="http://schemas.openxmlformats.org/officeDocument/2006/relationships/image" Target="../media/image269.png"/><Relationship Id="rId157" Type="http://schemas.openxmlformats.org/officeDocument/2006/relationships/image" Target="../media/image152.png"/><Relationship Id="rId278" Type="http://schemas.openxmlformats.org/officeDocument/2006/relationships/image" Target="../media/image261.png"/><Relationship Id="rId156" Type="http://schemas.openxmlformats.org/officeDocument/2006/relationships/image" Target="../media/image159.png"/><Relationship Id="rId277" Type="http://schemas.openxmlformats.org/officeDocument/2006/relationships/image" Target="../media/image249.png"/><Relationship Id="rId155" Type="http://schemas.openxmlformats.org/officeDocument/2006/relationships/image" Target="../media/image167.png"/><Relationship Id="rId276" Type="http://schemas.openxmlformats.org/officeDocument/2006/relationships/image" Target="../media/image281.png"/><Relationship Id="rId107" Type="http://schemas.openxmlformats.org/officeDocument/2006/relationships/image" Target="../media/image115.png"/><Relationship Id="rId228" Type="http://schemas.openxmlformats.org/officeDocument/2006/relationships/image" Target="../media/image215.png"/><Relationship Id="rId349" Type="http://schemas.openxmlformats.org/officeDocument/2006/relationships/image" Target="../media/image332.png"/><Relationship Id="rId106" Type="http://schemas.openxmlformats.org/officeDocument/2006/relationships/image" Target="../media/image88.png"/><Relationship Id="rId227" Type="http://schemas.openxmlformats.org/officeDocument/2006/relationships/image" Target="../media/image240.png"/><Relationship Id="rId348" Type="http://schemas.openxmlformats.org/officeDocument/2006/relationships/image" Target="../media/image329.png"/><Relationship Id="rId105" Type="http://schemas.openxmlformats.org/officeDocument/2006/relationships/image" Target="../media/image64.png"/><Relationship Id="rId226" Type="http://schemas.openxmlformats.org/officeDocument/2006/relationships/image" Target="../media/image230.png"/><Relationship Id="rId347" Type="http://schemas.openxmlformats.org/officeDocument/2006/relationships/image" Target="../media/image349.png"/><Relationship Id="rId104" Type="http://schemas.openxmlformats.org/officeDocument/2006/relationships/image" Target="../media/image79.png"/><Relationship Id="rId225" Type="http://schemas.openxmlformats.org/officeDocument/2006/relationships/image" Target="../media/image214.png"/><Relationship Id="rId346" Type="http://schemas.openxmlformats.org/officeDocument/2006/relationships/image" Target="../media/image314.png"/><Relationship Id="rId109" Type="http://schemas.openxmlformats.org/officeDocument/2006/relationships/image" Target="../media/image139.png"/><Relationship Id="rId108" Type="http://schemas.openxmlformats.org/officeDocument/2006/relationships/image" Target="../media/image112.png"/><Relationship Id="rId229" Type="http://schemas.openxmlformats.org/officeDocument/2006/relationships/image" Target="../media/image208.png"/><Relationship Id="rId220" Type="http://schemas.openxmlformats.org/officeDocument/2006/relationships/image" Target="../media/image212.png"/><Relationship Id="rId341" Type="http://schemas.openxmlformats.org/officeDocument/2006/relationships/image" Target="../media/image323.png"/><Relationship Id="rId340" Type="http://schemas.openxmlformats.org/officeDocument/2006/relationships/image" Target="../media/image354.png"/><Relationship Id="rId103" Type="http://schemas.openxmlformats.org/officeDocument/2006/relationships/image" Target="../media/image74.png"/><Relationship Id="rId224" Type="http://schemas.openxmlformats.org/officeDocument/2006/relationships/image" Target="../media/image219.png"/><Relationship Id="rId345" Type="http://schemas.openxmlformats.org/officeDocument/2006/relationships/image" Target="../media/image331.png"/><Relationship Id="rId102" Type="http://schemas.openxmlformats.org/officeDocument/2006/relationships/image" Target="../media/image135.png"/><Relationship Id="rId223" Type="http://schemas.openxmlformats.org/officeDocument/2006/relationships/image" Target="../media/image222.png"/><Relationship Id="rId344" Type="http://schemas.openxmlformats.org/officeDocument/2006/relationships/image" Target="../media/image361.png"/><Relationship Id="rId101" Type="http://schemas.openxmlformats.org/officeDocument/2006/relationships/image" Target="../media/image70.png"/><Relationship Id="rId222" Type="http://schemas.openxmlformats.org/officeDocument/2006/relationships/image" Target="../media/image205.png"/><Relationship Id="rId343" Type="http://schemas.openxmlformats.org/officeDocument/2006/relationships/image" Target="../media/image326.png"/><Relationship Id="rId100" Type="http://schemas.openxmlformats.org/officeDocument/2006/relationships/image" Target="../media/image84.png"/><Relationship Id="rId221" Type="http://schemas.openxmlformats.org/officeDocument/2006/relationships/image" Target="../media/image225.png"/><Relationship Id="rId342" Type="http://schemas.openxmlformats.org/officeDocument/2006/relationships/image" Target="../media/image337.png"/><Relationship Id="rId217" Type="http://schemas.openxmlformats.org/officeDocument/2006/relationships/image" Target="../media/image234.png"/><Relationship Id="rId338" Type="http://schemas.openxmlformats.org/officeDocument/2006/relationships/image" Target="../media/image311.png"/><Relationship Id="rId216" Type="http://schemas.openxmlformats.org/officeDocument/2006/relationships/image" Target="../media/image218.png"/><Relationship Id="rId337" Type="http://schemas.openxmlformats.org/officeDocument/2006/relationships/image" Target="../media/image350.png"/><Relationship Id="rId215" Type="http://schemas.openxmlformats.org/officeDocument/2006/relationships/image" Target="../media/image221.png"/><Relationship Id="rId336" Type="http://schemas.openxmlformats.org/officeDocument/2006/relationships/image" Target="../media/image352.png"/><Relationship Id="rId214" Type="http://schemas.openxmlformats.org/officeDocument/2006/relationships/image" Target="../media/image206.png"/><Relationship Id="rId335" Type="http://schemas.openxmlformats.org/officeDocument/2006/relationships/image" Target="../media/image346.png"/><Relationship Id="rId219" Type="http://schemas.openxmlformats.org/officeDocument/2006/relationships/image" Target="../media/image192.png"/><Relationship Id="rId218" Type="http://schemas.openxmlformats.org/officeDocument/2006/relationships/image" Target="../media/image310.png"/><Relationship Id="rId339" Type="http://schemas.openxmlformats.org/officeDocument/2006/relationships/image" Target="../media/image334.png"/><Relationship Id="rId330" Type="http://schemas.openxmlformats.org/officeDocument/2006/relationships/image" Target="../media/image298.png"/><Relationship Id="rId213" Type="http://schemas.openxmlformats.org/officeDocument/2006/relationships/image" Target="../media/image191.png"/><Relationship Id="rId334" Type="http://schemas.openxmlformats.org/officeDocument/2006/relationships/image" Target="../media/image318.png"/><Relationship Id="rId212" Type="http://schemas.openxmlformats.org/officeDocument/2006/relationships/image" Target="../media/image190.png"/><Relationship Id="rId333" Type="http://schemas.openxmlformats.org/officeDocument/2006/relationships/image" Target="../media/image365.png"/><Relationship Id="rId211" Type="http://schemas.openxmlformats.org/officeDocument/2006/relationships/image" Target="../media/image207.png"/><Relationship Id="rId332" Type="http://schemas.openxmlformats.org/officeDocument/2006/relationships/image" Target="../media/image317.png"/><Relationship Id="rId210" Type="http://schemas.openxmlformats.org/officeDocument/2006/relationships/image" Target="../media/image253.png"/><Relationship Id="rId331" Type="http://schemas.openxmlformats.org/officeDocument/2006/relationships/image" Target="../media/image308.png"/><Relationship Id="rId370" Type="http://schemas.openxmlformats.org/officeDocument/2006/relationships/image" Target="../media/image360.png"/><Relationship Id="rId129" Type="http://schemas.openxmlformats.org/officeDocument/2006/relationships/image" Target="../media/image151.png"/><Relationship Id="rId128" Type="http://schemas.openxmlformats.org/officeDocument/2006/relationships/image" Target="../media/image101.png"/><Relationship Id="rId249" Type="http://schemas.openxmlformats.org/officeDocument/2006/relationships/image" Target="../media/image239.png"/><Relationship Id="rId127" Type="http://schemas.openxmlformats.org/officeDocument/2006/relationships/image" Target="../media/image114.png"/><Relationship Id="rId248" Type="http://schemas.openxmlformats.org/officeDocument/2006/relationships/image" Target="../media/image246.png"/><Relationship Id="rId369" Type="http://schemas.openxmlformats.org/officeDocument/2006/relationships/image" Target="../media/image363.png"/><Relationship Id="rId126" Type="http://schemas.openxmlformats.org/officeDocument/2006/relationships/image" Target="../media/image100.png"/><Relationship Id="rId247" Type="http://schemas.openxmlformats.org/officeDocument/2006/relationships/image" Target="../media/image237.png"/><Relationship Id="rId368" Type="http://schemas.openxmlformats.org/officeDocument/2006/relationships/image" Target="../media/image364.png"/><Relationship Id="rId121" Type="http://schemas.openxmlformats.org/officeDocument/2006/relationships/image" Target="../media/image173.png"/><Relationship Id="rId242" Type="http://schemas.openxmlformats.org/officeDocument/2006/relationships/image" Target="../media/image250.png"/><Relationship Id="rId363" Type="http://schemas.openxmlformats.org/officeDocument/2006/relationships/image" Target="../media/image366.png"/><Relationship Id="rId120" Type="http://schemas.openxmlformats.org/officeDocument/2006/relationships/image" Target="../media/image118.png"/><Relationship Id="rId241" Type="http://schemas.openxmlformats.org/officeDocument/2006/relationships/image" Target="../media/image241.png"/><Relationship Id="rId362" Type="http://schemas.openxmlformats.org/officeDocument/2006/relationships/image" Target="../media/image356.png"/><Relationship Id="rId240" Type="http://schemas.openxmlformats.org/officeDocument/2006/relationships/image" Target="../media/image216.png"/><Relationship Id="rId361" Type="http://schemas.openxmlformats.org/officeDocument/2006/relationships/image" Target="../media/image368.png"/><Relationship Id="rId360" Type="http://schemas.openxmlformats.org/officeDocument/2006/relationships/image" Target="../media/image359.png"/><Relationship Id="rId125" Type="http://schemas.openxmlformats.org/officeDocument/2006/relationships/image" Target="../media/image150.png"/><Relationship Id="rId246" Type="http://schemas.openxmlformats.org/officeDocument/2006/relationships/image" Target="../media/image233.png"/><Relationship Id="rId367" Type="http://schemas.openxmlformats.org/officeDocument/2006/relationships/image" Target="../media/image353.png"/><Relationship Id="rId124" Type="http://schemas.openxmlformats.org/officeDocument/2006/relationships/image" Target="../media/image158.png"/><Relationship Id="rId245" Type="http://schemas.openxmlformats.org/officeDocument/2006/relationships/image" Target="../media/image258.png"/><Relationship Id="rId366" Type="http://schemas.openxmlformats.org/officeDocument/2006/relationships/image" Target="../media/image371.png"/><Relationship Id="rId123" Type="http://schemas.openxmlformats.org/officeDocument/2006/relationships/image" Target="../media/image170.png"/><Relationship Id="rId244" Type="http://schemas.openxmlformats.org/officeDocument/2006/relationships/image" Target="../media/image235.png"/><Relationship Id="rId365" Type="http://schemas.openxmlformats.org/officeDocument/2006/relationships/image" Target="../media/image372.png"/><Relationship Id="rId122" Type="http://schemas.openxmlformats.org/officeDocument/2006/relationships/image" Target="../media/image138.png"/><Relationship Id="rId243" Type="http://schemas.openxmlformats.org/officeDocument/2006/relationships/image" Target="../media/image248.png"/><Relationship Id="rId364" Type="http://schemas.openxmlformats.org/officeDocument/2006/relationships/image" Target="../media/image355.png"/><Relationship Id="rId95" Type="http://schemas.openxmlformats.org/officeDocument/2006/relationships/image" Target="../media/image126.png"/><Relationship Id="rId94" Type="http://schemas.openxmlformats.org/officeDocument/2006/relationships/image" Target="../media/image97.png"/><Relationship Id="rId97" Type="http://schemas.openxmlformats.org/officeDocument/2006/relationships/image" Target="../media/image71.png"/><Relationship Id="rId96" Type="http://schemas.openxmlformats.org/officeDocument/2006/relationships/image" Target="../media/image98.png"/><Relationship Id="rId99" Type="http://schemas.openxmlformats.org/officeDocument/2006/relationships/image" Target="../media/image92.png"/><Relationship Id="rId98" Type="http://schemas.openxmlformats.org/officeDocument/2006/relationships/image" Target="../media/image89.png"/><Relationship Id="rId91" Type="http://schemas.openxmlformats.org/officeDocument/2006/relationships/image" Target="../media/image67.png"/><Relationship Id="rId90" Type="http://schemas.openxmlformats.org/officeDocument/2006/relationships/image" Target="../media/image82.png"/><Relationship Id="rId93" Type="http://schemas.openxmlformats.org/officeDocument/2006/relationships/image" Target="../media/image91.png"/><Relationship Id="rId92" Type="http://schemas.openxmlformats.org/officeDocument/2006/relationships/image" Target="../media/image116.png"/><Relationship Id="rId118" Type="http://schemas.openxmlformats.org/officeDocument/2006/relationships/image" Target="../media/image121.png"/><Relationship Id="rId239" Type="http://schemas.openxmlformats.org/officeDocument/2006/relationships/image" Target="../media/image282.png"/><Relationship Id="rId117" Type="http://schemas.openxmlformats.org/officeDocument/2006/relationships/image" Target="../media/image111.png"/><Relationship Id="rId238" Type="http://schemas.openxmlformats.org/officeDocument/2006/relationships/image" Target="../media/image226.png"/><Relationship Id="rId359" Type="http://schemas.openxmlformats.org/officeDocument/2006/relationships/image" Target="../media/image362.png"/><Relationship Id="rId116" Type="http://schemas.openxmlformats.org/officeDocument/2006/relationships/image" Target="../media/image125.png"/><Relationship Id="rId237" Type="http://schemas.openxmlformats.org/officeDocument/2006/relationships/image" Target="../media/image260.png"/><Relationship Id="rId358" Type="http://schemas.openxmlformats.org/officeDocument/2006/relationships/image" Target="../media/image341.png"/><Relationship Id="rId115" Type="http://schemas.openxmlformats.org/officeDocument/2006/relationships/image" Target="../media/image141.png"/><Relationship Id="rId236" Type="http://schemas.openxmlformats.org/officeDocument/2006/relationships/image" Target="../media/image227.png"/><Relationship Id="rId357" Type="http://schemas.openxmlformats.org/officeDocument/2006/relationships/image" Target="../media/image347.png"/><Relationship Id="rId119" Type="http://schemas.openxmlformats.org/officeDocument/2006/relationships/image" Target="../media/image130.png"/><Relationship Id="rId110" Type="http://schemas.openxmlformats.org/officeDocument/2006/relationships/image" Target="../media/image61.png"/><Relationship Id="rId231" Type="http://schemas.openxmlformats.org/officeDocument/2006/relationships/image" Target="../media/image210.png"/><Relationship Id="rId352" Type="http://schemas.openxmlformats.org/officeDocument/2006/relationships/image" Target="../media/image340.png"/><Relationship Id="rId230" Type="http://schemas.openxmlformats.org/officeDocument/2006/relationships/image" Target="../media/image292.png"/><Relationship Id="rId351" Type="http://schemas.openxmlformats.org/officeDocument/2006/relationships/image" Target="../media/image343.png"/><Relationship Id="rId350" Type="http://schemas.openxmlformats.org/officeDocument/2006/relationships/image" Target="../media/image330.png"/><Relationship Id="rId114" Type="http://schemas.openxmlformats.org/officeDocument/2006/relationships/image" Target="../media/image110.png"/><Relationship Id="rId235" Type="http://schemas.openxmlformats.org/officeDocument/2006/relationships/image" Target="../media/image217.png"/><Relationship Id="rId356" Type="http://schemas.openxmlformats.org/officeDocument/2006/relationships/image" Target="../media/image367.png"/><Relationship Id="rId113" Type="http://schemas.openxmlformats.org/officeDocument/2006/relationships/image" Target="../media/image90.png"/><Relationship Id="rId234" Type="http://schemas.openxmlformats.org/officeDocument/2006/relationships/image" Target="../media/image204.png"/><Relationship Id="rId355" Type="http://schemas.openxmlformats.org/officeDocument/2006/relationships/image" Target="../media/image339.png"/><Relationship Id="rId112" Type="http://schemas.openxmlformats.org/officeDocument/2006/relationships/image" Target="../media/image103.png"/><Relationship Id="rId233" Type="http://schemas.openxmlformats.org/officeDocument/2006/relationships/image" Target="../media/image228.png"/><Relationship Id="rId354" Type="http://schemas.openxmlformats.org/officeDocument/2006/relationships/image" Target="../media/image351.png"/><Relationship Id="rId111" Type="http://schemas.openxmlformats.org/officeDocument/2006/relationships/image" Target="../media/image106.png"/><Relationship Id="rId232" Type="http://schemas.openxmlformats.org/officeDocument/2006/relationships/image" Target="../media/image265.png"/><Relationship Id="rId353" Type="http://schemas.openxmlformats.org/officeDocument/2006/relationships/image" Target="../media/image370.png"/><Relationship Id="rId305" Type="http://schemas.openxmlformats.org/officeDocument/2006/relationships/image" Target="../media/image319.png"/><Relationship Id="rId304" Type="http://schemas.openxmlformats.org/officeDocument/2006/relationships/image" Target="../media/image294.png"/><Relationship Id="rId303" Type="http://schemas.openxmlformats.org/officeDocument/2006/relationships/image" Target="../media/image295.png"/><Relationship Id="rId302" Type="http://schemas.openxmlformats.org/officeDocument/2006/relationships/image" Target="../media/image336.png"/><Relationship Id="rId309" Type="http://schemas.openxmlformats.org/officeDocument/2006/relationships/image" Target="../media/image335.png"/><Relationship Id="rId308" Type="http://schemas.openxmlformats.org/officeDocument/2006/relationships/image" Target="../media/image345.png"/><Relationship Id="rId307" Type="http://schemas.openxmlformats.org/officeDocument/2006/relationships/image" Target="../media/image348.png"/><Relationship Id="rId306" Type="http://schemas.openxmlformats.org/officeDocument/2006/relationships/image" Target="../media/image309.png"/><Relationship Id="rId301" Type="http://schemas.openxmlformats.org/officeDocument/2006/relationships/image" Target="../media/image283.png"/><Relationship Id="rId300" Type="http://schemas.openxmlformats.org/officeDocument/2006/relationships/image" Target="../media/image287.png"/><Relationship Id="rId206" Type="http://schemas.openxmlformats.org/officeDocument/2006/relationships/image" Target="../media/image223.png"/><Relationship Id="rId327" Type="http://schemas.openxmlformats.org/officeDocument/2006/relationships/image" Target="../media/image333.png"/><Relationship Id="rId205" Type="http://schemas.openxmlformats.org/officeDocument/2006/relationships/image" Target="../media/image231.png"/><Relationship Id="rId326" Type="http://schemas.openxmlformats.org/officeDocument/2006/relationships/image" Target="../media/image304.png"/><Relationship Id="rId204" Type="http://schemas.openxmlformats.org/officeDocument/2006/relationships/image" Target="../media/image211.png"/><Relationship Id="rId325" Type="http://schemas.openxmlformats.org/officeDocument/2006/relationships/image" Target="../media/image321.png"/><Relationship Id="rId203" Type="http://schemas.openxmlformats.org/officeDocument/2006/relationships/image" Target="../media/image220.png"/><Relationship Id="rId324" Type="http://schemas.openxmlformats.org/officeDocument/2006/relationships/image" Target="../media/image313.png"/><Relationship Id="rId209" Type="http://schemas.openxmlformats.org/officeDocument/2006/relationships/image" Target="../media/image195.png"/><Relationship Id="rId208" Type="http://schemas.openxmlformats.org/officeDocument/2006/relationships/image" Target="../media/image200.png"/><Relationship Id="rId329" Type="http://schemas.openxmlformats.org/officeDocument/2006/relationships/image" Target="../media/image327.png"/><Relationship Id="rId207" Type="http://schemas.openxmlformats.org/officeDocument/2006/relationships/image" Target="../media/image197.png"/><Relationship Id="rId328" Type="http://schemas.openxmlformats.org/officeDocument/2006/relationships/image" Target="../media/image328.png"/><Relationship Id="rId202" Type="http://schemas.openxmlformats.org/officeDocument/2006/relationships/image" Target="../media/image185.png"/><Relationship Id="rId323" Type="http://schemas.openxmlformats.org/officeDocument/2006/relationships/image" Target="../media/image325.png"/><Relationship Id="rId201" Type="http://schemas.openxmlformats.org/officeDocument/2006/relationships/image" Target="../media/image201.png"/><Relationship Id="rId322" Type="http://schemas.openxmlformats.org/officeDocument/2006/relationships/image" Target="../media/image324.png"/><Relationship Id="rId200" Type="http://schemas.openxmlformats.org/officeDocument/2006/relationships/image" Target="../media/image229.png"/><Relationship Id="rId321" Type="http://schemas.openxmlformats.org/officeDocument/2006/relationships/image" Target="../media/image322.png"/><Relationship Id="rId320" Type="http://schemas.openxmlformats.org/officeDocument/2006/relationships/image" Target="../media/image338.png"/><Relationship Id="rId316" Type="http://schemas.openxmlformats.org/officeDocument/2006/relationships/image" Target="../media/image301.png"/><Relationship Id="rId315" Type="http://schemas.openxmlformats.org/officeDocument/2006/relationships/image" Target="../media/image357.png"/><Relationship Id="rId314" Type="http://schemas.openxmlformats.org/officeDocument/2006/relationships/image" Target="../media/image344.png"/><Relationship Id="rId313" Type="http://schemas.openxmlformats.org/officeDocument/2006/relationships/image" Target="../media/image303.png"/><Relationship Id="rId319" Type="http://schemas.openxmlformats.org/officeDocument/2006/relationships/image" Target="../media/image300.png"/><Relationship Id="rId318" Type="http://schemas.openxmlformats.org/officeDocument/2006/relationships/image" Target="../media/image296.png"/><Relationship Id="rId317" Type="http://schemas.openxmlformats.org/officeDocument/2006/relationships/image" Target="../media/image316.png"/><Relationship Id="rId312" Type="http://schemas.openxmlformats.org/officeDocument/2006/relationships/image" Target="../media/image312.png"/><Relationship Id="rId311" Type="http://schemas.openxmlformats.org/officeDocument/2006/relationships/image" Target="../media/image320.png"/><Relationship Id="rId310" Type="http://schemas.openxmlformats.org/officeDocument/2006/relationships/image" Target="../media/image30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23850" cy="4762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485775" cy="438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419100" cy="476250"/>
    <xdr:pic>
      <xdr:nvPicPr>
        <xdr:cNvPr id="0" name="image6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485775" cy="438150"/>
    <xdr:pic>
      <xdr:nvPicPr>
        <xdr:cNvPr id="0" name="image44.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476250" cy="438150"/>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428625" cy="4762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447675" cy="476250"/>
    <xdr:pic>
      <xdr:nvPicPr>
        <xdr:cNvPr id="0" name="image5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457200" cy="47625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476250" cy="476250"/>
    <xdr:pic>
      <xdr:nvPicPr>
        <xdr:cNvPr id="0" name="image4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447675" cy="476250"/>
    <xdr:pic>
      <xdr:nvPicPr>
        <xdr:cNvPr id="0" name="image4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485775" cy="457200"/>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485775" cy="457200"/>
    <xdr:pic>
      <xdr:nvPicPr>
        <xdr:cNvPr id="0" name="image5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485775" cy="409575"/>
    <xdr:pic>
      <xdr:nvPicPr>
        <xdr:cNvPr id="0" name="image47.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390525" cy="476250"/>
    <xdr:pic>
      <xdr:nvPicPr>
        <xdr:cNvPr id="0" name="image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485775" cy="4572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476250" cy="476250"/>
    <xdr:pic>
      <xdr:nvPicPr>
        <xdr:cNvPr id="0" name="image45.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485775" cy="466725"/>
    <xdr:pic>
      <xdr:nvPicPr>
        <xdr:cNvPr id="0" name="image4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485775" cy="457200"/>
    <xdr:pic>
      <xdr:nvPicPr>
        <xdr:cNvPr id="0" name="image5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323850" cy="476250"/>
    <xdr:pic>
      <xdr:nvPicPr>
        <xdr:cNvPr id="0" name="image15.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485775" cy="266700"/>
    <xdr:pic>
      <xdr:nvPicPr>
        <xdr:cNvPr id="0" name="image2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381000" cy="476250"/>
    <xdr:pic>
      <xdr:nvPicPr>
        <xdr:cNvPr id="0" name="image26.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476250" cy="476250"/>
    <xdr:pic>
      <xdr:nvPicPr>
        <xdr:cNvPr id="0" name="image7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342900" cy="476250"/>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476250" cy="476250"/>
    <xdr:pic>
      <xdr:nvPicPr>
        <xdr:cNvPr id="0" name="image4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485775" cy="323850"/>
    <xdr:pic>
      <xdr:nvPicPr>
        <xdr:cNvPr id="0" name="image2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485775" cy="3429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485775" cy="438150"/>
    <xdr:pic>
      <xdr:nvPicPr>
        <xdr:cNvPr id="0" name="image80.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333375" cy="476250"/>
    <xdr:pic>
      <xdr:nvPicPr>
        <xdr:cNvPr id="0" name="image1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485775" cy="457200"/>
    <xdr:pic>
      <xdr:nvPicPr>
        <xdr:cNvPr id="0" name="image11.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476250" cy="476250"/>
    <xdr:pic>
      <xdr:nvPicPr>
        <xdr:cNvPr id="0" name="image2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361950" cy="476250"/>
    <xdr:pic>
      <xdr:nvPicPr>
        <xdr:cNvPr id="0" name="image34.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485775" cy="428625"/>
    <xdr:pic>
      <xdr:nvPicPr>
        <xdr:cNvPr id="0" name="image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0" name="image46.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485775" cy="361950"/>
    <xdr:pic>
      <xdr:nvPicPr>
        <xdr:cNvPr id="0" name="image23.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485775" cy="438150"/>
    <xdr:pic>
      <xdr:nvPicPr>
        <xdr:cNvPr id="0" name="image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476250" cy="476250"/>
    <xdr:pic>
      <xdr:nvPicPr>
        <xdr:cNvPr id="0" name="image7.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352425" cy="476250"/>
    <xdr:pic>
      <xdr:nvPicPr>
        <xdr:cNvPr id="0" name="image19.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409575" cy="476250"/>
    <xdr:pic>
      <xdr:nvPicPr>
        <xdr:cNvPr id="0" name="image31.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381000" cy="476250"/>
    <xdr:pic>
      <xdr:nvPicPr>
        <xdr:cNvPr id="0" name="image42.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40</xdr:row>
      <xdr:rowOff>0</xdr:rowOff>
    </xdr:from>
    <xdr:ext cx="485775" cy="352425"/>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41</xdr:row>
      <xdr:rowOff>0</xdr:rowOff>
    </xdr:from>
    <xdr:ext cx="485775" cy="438150"/>
    <xdr:pic>
      <xdr:nvPicPr>
        <xdr:cNvPr id="0" name="image36.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42</xdr:row>
      <xdr:rowOff>0</xdr:rowOff>
    </xdr:from>
    <xdr:ext cx="447675" cy="47625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xdr:row>
      <xdr:rowOff>0</xdr:rowOff>
    </xdr:from>
    <xdr:ext cx="428625" cy="476250"/>
    <xdr:pic>
      <xdr:nvPicPr>
        <xdr:cNvPr id="0" name="image85.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xdr:row>
      <xdr:rowOff>0</xdr:rowOff>
    </xdr:from>
    <xdr:ext cx="485775" cy="390525"/>
    <xdr:pic>
      <xdr:nvPicPr>
        <xdr:cNvPr id="0" name="image27.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xdr:row>
      <xdr:rowOff>0</xdr:rowOff>
    </xdr:from>
    <xdr:ext cx="485775" cy="457200"/>
    <xdr:pic>
      <xdr:nvPicPr>
        <xdr:cNvPr id="0" name="image24.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46</xdr:row>
      <xdr:rowOff>0</xdr:rowOff>
    </xdr:from>
    <xdr:ext cx="485775" cy="409575"/>
    <xdr:pic>
      <xdr:nvPicPr>
        <xdr:cNvPr id="0" name="image35.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xdr:row>
      <xdr:rowOff>0</xdr:rowOff>
    </xdr:from>
    <xdr:ext cx="485775" cy="371475"/>
    <xdr:pic>
      <xdr:nvPicPr>
        <xdr:cNvPr id="0" name="image1.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48</xdr:row>
      <xdr:rowOff>0</xdr:rowOff>
    </xdr:from>
    <xdr:ext cx="476250" cy="438150"/>
    <xdr:pic>
      <xdr:nvPicPr>
        <xdr:cNvPr id="0" name="image56.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xdr:row>
      <xdr:rowOff>0</xdr:rowOff>
    </xdr:from>
    <xdr:ext cx="361950" cy="476250"/>
    <xdr:pic>
      <xdr:nvPicPr>
        <xdr:cNvPr id="0" name="image22.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xdr:row>
      <xdr:rowOff>0</xdr:rowOff>
    </xdr:from>
    <xdr:ext cx="438150" cy="476250"/>
    <xdr:pic>
      <xdr:nvPicPr>
        <xdr:cNvPr id="0" name="image6.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51</xdr:row>
      <xdr:rowOff>0</xdr:rowOff>
    </xdr:from>
    <xdr:ext cx="485775" cy="419100"/>
    <xdr:pic>
      <xdr:nvPicPr>
        <xdr:cNvPr id="0" name="image53.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xdr:row>
      <xdr:rowOff>0</xdr:rowOff>
    </xdr:from>
    <xdr:ext cx="485775" cy="447675"/>
    <xdr:pic>
      <xdr:nvPicPr>
        <xdr:cNvPr id="0" name="image12.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53</xdr:row>
      <xdr:rowOff>0</xdr:rowOff>
    </xdr:from>
    <xdr:ext cx="485775" cy="457200"/>
    <xdr:pic>
      <xdr:nvPicPr>
        <xdr:cNvPr id="0" name="image38.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0" name="image1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55</xdr:row>
      <xdr:rowOff>0</xdr:rowOff>
    </xdr:from>
    <xdr:ext cx="428625" cy="476250"/>
    <xdr:pic>
      <xdr:nvPicPr>
        <xdr:cNvPr id="0" name="image96.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56</xdr:row>
      <xdr:rowOff>0</xdr:rowOff>
    </xdr:from>
    <xdr:ext cx="476250" cy="476250"/>
    <xdr:pic>
      <xdr:nvPicPr>
        <xdr:cNvPr id="0" name="image37.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57</xdr:row>
      <xdr:rowOff>0</xdr:rowOff>
    </xdr:from>
    <xdr:ext cx="342900" cy="476250"/>
    <xdr:pic>
      <xdr:nvPicPr>
        <xdr:cNvPr id="0" name="image7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xdr:row>
      <xdr:rowOff>0</xdr:rowOff>
    </xdr:from>
    <xdr:ext cx="485775" cy="381000"/>
    <xdr:pic>
      <xdr:nvPicPr>
        <xdr:cNvPr id="0" name="image20.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59</xdr:row>
      <xdr:rowOff>0</xdr:rowOff>
    </xdr:from>
    <xdr:ext cx="409575" cy="476250"/>
    <xdr:pic>
      <xdr:nvPicPr>
        <xdr:cNvPr id="0" name="image3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60</xdr:row>
      <xdr:rowOff>0</xdr:rowOff>
    </xdr:from>
    <xdr:ext cx="419100" cy="476250"/>
    <xdr:pic>
      <xdr:nvPicPr>
        <xdr:cNvPr id="0" name="image8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61</xdr:row>
      <xdr:rowOff>0</xdr:rowOff>
    </xdr:from>
    <xdr:ext cx="485775" cy="371475"/>
    <xdr:pic>
      <xdr:nvPicPr>
        <xdr:cNvPr id="0" name="image81.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62</xdr:row>
      <xdr:rowOff>0</xdr:rowOff>
    </xdr:from>
    <xdr:ext cx="390525" cy="476250"/>
    <xdr:pic>
      <xdr:nvPicPr>
        <xdr:cNvPr id="0" name="image63.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63</xdr:row>
      <xdr:rowOff>0</xdr:rowOff>
    </xdr:from>
    <xdr:ext cx="476250" cy="457200"/>
    <xdr:pic>
      <xdr:nvPicPr>
        <xdr:cNvPr id="0" name="image83.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64</xdr:row>
      <xdr:rowOff>0</xdr:rowOff>
    </xdr:from>
    <xdr:ext cx="485775" cy="447675"/>
    <xdr:pic>
      <xdr:nvPicPr>
        <xdr:cNvPr id="0" name="image4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65</xdr:row>
      <xdr:rowOff>0</xdr:rowOff>
    </xdr:from>
    <xdr:ext cx="485775" cy="457200"/>
    <xdr:pic>
      <xdr:nvPicPr>
        <xdr:cNvPr id="0" name="image99.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66</xdr:row>
      <xdr:rowOff>0</xdr:rowOff>
    </xdr:from>
    <xdr:ext cx="409575" cy="476250"/>
    <xdr:pic>
      <xdr:nvPicPr>
        <xdr:cNvPr id="0" name="image5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67</xdr:row>
      <xdr:rowOff>0</xdr:rowOff>
    </xdr:from>
    <xdr:ext cx="419100" cy="476250"/>
    <xdr:pic>
      <xdr:nvPicPr>
        <xdr:cNvPr id="0" name="image7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68</xdr:row>
      <xdr:rowOff>0</xdr:rowOff>
    </xdr:from>
    <xdr:ext cx="476250" cy="476250"/>
    <xdr:pic>
      <xdr:nvPicPr>
        <xdr:cNvPr id="0" name="image65.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xdr:row>
      <xdr:rowOff>0</xdr:rowOff>
    </xdr:from>
    <xdr:ext cx="457200" cy="476250"/>
    <xdr:pic>
      <xdr:nvPicPr>
        <xdr:cNvPr id="0" name="image75.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70</xdr:row>
      <xdr:rowOff>0</xdr:rowOff>
    </xdr:from>
    <xdr:ext cx="485775" cy="419100"/>
    <xdr:pic>
      <xdr:nvPicPr>
        <xdr:cNvPr id="0" name="image66.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71</xdr:row>
      <xdr:rowOff>0</xdr:rowOff>
    </xdr:from>
    <xdr:ext cx="485775" cy="400050"/>
    <xdr:pic>
      <xdr:nvPicPr>
        <xdr:cNvPr id="0" name="image60.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72</xdr:row>
      <xdr:rowOff>0</xdr:rowOff>
    </xdr:from>
    <xdr:ext cx="476250" cy="476250"/>
    <xdr:pic>
      <xdr:nvPicPr>
        <xdr:cNvPr id="0" name="image5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73</xdr:row>
      <xdr:rowOff>0</xdr:rowOff>
    </xdr:from>
    <xdr:ext cx="485775" cy="409575"/>
    <xdr:pic>
      <xdr:nvPicPr>
        <xdr:cNvPr id="0" name="image86.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74</xdr:row>
      <xdr:rowOff>0</xdr:rowOff>
    </xdr:from>
    <xdr:ext cx="485775" cy="447675"/>
    <xdr:pic>
      <xdr:nvPicPr>
        <xdr:cNvPr id="0" name="image58.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75</xdr:row>
      <xdr:rowOff>0</xdr:rowOff>
    </xdr:from>
    <xdr:ext cx="485775" cy="333375"/>
    <xdr:pic>
      <xdr:nvPicPr>
        <xdr:cNvPr id="0" name="image109.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76</xdr:row>
      <xdr:rowOff>0</xdr:rowOff>
    </xdr:from>
    <xdr:ext cx="476250" cy="476250"/>
    <xdr:pic>
      <xdr:nvPicPr>
        <xdr:cNvPr id="0" name="image128.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77</xdr:row>
      <xdr:rowOff>0</xdr:rowOff>
    </xdr:from>
    <xdr:ext cx="485775" cy="457200"/>
    <xdr:pic>
      <xdr:nvPicPr>
        <xdr:cNvPr id="0" name="image52.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78</xdr:row>
      <xdr:rowOff>0</xdr:rowOff>
    </xdr:from>
    <xdr:ext cx="485775" cy="381000"/>
    <xdr:pic>
      <xdr:nvPicPr>
        <xdr:cNvPr id="0" name="image94.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79</xdr:row>
      <xdr:rowOff>0</xdr:rowOff>
    </xdr:from>
    <xdr:ext cx="409575" cy="476250"/>
    <xdr:pic>
      <xdr:nvPicPr>
        <xdr:cNvPr id="0" name="image107.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80</xdr:row>
      <xdr:rowOff>0</xdr:rowOff>
    </xdr:from>
    <xdr:ext cx="485775" cy="304800"/>
    <xdr:pic>
      <xdr:nvPicPr>
        <xdr:cNvPr id="0" name="image5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81</xdr:row>
      <xdr:rowOff>0</xdr:rowOff>
    </xdr:from>
    <xdr:ext cx="485775" cy="285750"/>
    <xdr:pic>
      <xdr:nvPicPr>
        <xdr:cNvPr id="0" name="image108.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82</xdr:row>
      <xdr:rowOff>0</xdr:rowOff>
    </xdr:from>
    <xdr:ext cx="485775" cy="371475"/>
    <xdr:pic>
      <xdr:nvPicPr>
        <xdr:cNvPr id="0" name="image7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83</xdr:row>
      <xdr:rowOff>0</xdr:rowOff>
    </xdr:from>
    <xdr:ext cx="485775" cy="419100"/>
    <xdr:pic>
      <xdr:nvPicPr>
        <xdr:cNvPr id="0" name="image102.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84</xdr:row>
      <xdr:rowOff>0</xdr:rowOff>
    </xdr:from>
    <xdr:ext cx="428625" cy="476250"/>
    <xdr:pic>
      <xdr:nvPicPr>
        <xdr:cNvPr id="0" name="image93.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85</xdr:row>
      <xdr:rowOff>0</xdr:rowOff>
    </xdr:from>
    <xdr:ext cx="485775" cy="381000"/>
    <xdr:pic>
      <xdr:nvPicPr>
        <xdr:cNvPr id="0" name="image62.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86</xdr:row>
      <xdr:rowOff>0</xdr:rowOff>
    </xdr:from>
    <xdr:ext cx="409575" cy="476250"/>
    <xdr:pic>
      <xdr:nvPicPr>
        <xdr:cNvPr id="0" name="image95.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87</xdr:row>
      <xdr:rowOff>0</xdr:rowOff>
    </xdr:from>
    <xdr:ext cx="485775" cy="419100"/>
    <xdr:pic>
      <xdr:nvPicPr>
        <xdr:cNvPr id="0" name="image77.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88</xdr:row>
      <xdr:rowOff>0</xdr:rowOff>
    </xdr:from>
    <xdr:ext cx="342900" cy="476250"/>
    <xdr:pic>
      <xdr:nvPicPr>
        <xdr:cNvPr id="0" name="image119.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89</xdr:row>
      <xdr:rowOff>0</xdr:rowOff>
    </xdr:from>
    <xdr:ext cx="485775" cy="457200"/>
    <xdr:pic>
      <xdr:nvPicPr>
        <xdr:cNvPr id="0" name="image69.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90</xdr:row>
      <xdr:rowOff>0</xdr:rowOff>
    </xdr:from>
    <xdr:ext cx="485775" cy="390525"/>
    <xdr:pic>
      <xdr:nvPicPr>
        <xdr:cNvPr id="0" name="image82.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91</xdr:row>
      <xdr:rowOff>0</xdr:rowOff>
    </xdr:from>
    <xdr:ext cx="390525" cy="476250"/>
    <xdr:pic>
      <xdr:nvPicPr>
        <xdr:cNvPr id="0" name="image67.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92</xdr:row>
      <xdr:rowOff>0</xdr:rowOff>
    </xdr:from>
    <xdr:ext cx="476250" cy="476250"/>
    <xdr:pic>
      <xdr:nvPicPr>
        <xdr:cNvPr id="0" name="image116.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93</xdr:row>
      <xdr:rowOff>0</xdr:rowOff>
    </xdr:from>
    <xdr:ext cx="381000" cy="476250"/>
    <xdr:pic>
      <xdr:nvPicPr>
        <xdr:cNvPr id="0" name="image91.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94</xdr:row>
      <xdr:rowOff>0</xdr:rowOff>
    </xdr:from>
    <xdr:ext cx="390525" cy="476250"/>
    <xdr:pic>
      <xdr:nvPicPr>
        <xdr:cNvPr id="0" name="image97.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95</xdr:row>
      <xdr:rowOff>0</xdr:rowOff>
    </xdr:from>
    <xdr:ext cx="485775" cy="342900"/>
    <xdr:pic>
      <xdr:nvPicPr>
        <xdr:cNvPr id="0" name="image126.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96</xdr:row>
      <xdr:rowOff>0</xdr:rowOff>
    </xdr:from>
    <xdr:ext cx="400050" cy="476250"/>
    <xdr:pic>
      <xdr:nvPicPr>
        <xdr:cNvPr id="0" name="image98.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97</xdr:row>
      <xdr:rowOff>0</xdr:rowOff>
    </xdr:from>
    <xdr:ext cx="485775" cy="381000"/>
    <xdr:pic>
      <xdr:nvPicPr>
        <xdr:cNvPr id="0" name="image71.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98</xdr:row>
      <xdr:rowOff>0</xdr:rowOff>
    </xdr:from>
    <xdr:ext cx="447675" cy="476250"/>
    <xdr:pic>
      <xdr:nvPicPr>
        <xdr:cNvPr id="0" name="image89.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99</xdr:row>
      <xdr:rowOff>0</xdr:rowOff>
    </xdr:from>
    <xdr:ext cx="371475" cy="476250"/>
    <xdr:pic>
      <xdr:nvPicPr>
        <xdr:cNvPr id="0" name="image92.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100</xdr:row>
      <xdr:rowOff>0</xdr:rowOff>
    </xdr:from>
    <xdr:ext cx="400050" cy="476250"/>
    <xdr:pic>
      <xdr:nvPicPr>
        <xdr:cNvPr id="0" name="image84.pn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101</xdr:row>
      <xdr:rowOff>0</xdr:rowOff>
    </xdr:from>
    <xdr:ext cx="447675" cy="476250"/>
    <xdr:pic>
      <xdr:nvPicPr>
        <xdr:cNvPr id="0" name="image70.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102</xdr:row>
      <xdr:rowOff>0</xdr:rowOff>
    </xdr:from>
    <xdr:ext cx="400050" cy="476250"/>
    <xdr:pic>
      <xdr:nvPicPr>
        <xdr:cNvPr id="0" name="image1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103</xdr:row>
      <xdr:rowOff>0</xdr:rowOff>
    </xdr:from>
    <xdr:ext cx="485775" cy="447675"/>
    <xdr:pic>
      <xdr:nvPicPr>
        <xdr:cNvPr id="0" name="image7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104</xdr:row>
      <xdr:rowOff>0</xdr:rowOff>
    </xdr:from>
    <xdr:ext cx="428625" cy="476250"/>
    <xdr:pic>
      <xdr:nvPicPr>
        <xdr:cNvPr id="0" name="image79.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105</xdr:row>
      <xdr:rowOff>0</xdr:rowOff>
    </xdr:from>
    <xdr:ext cx="285750" cy="476250"/>
    <xdr:pic>
      <xdr:nvPicPr>
        <xdr:cNvPr id="0" name="image64.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106</xdr:row>
      <xdr:rowOff>0</xdr:rowOff>
    </xdr:from>
    <xdr:ext cx="428625" cy="476250"/>
    <xdr:pic>
      <xdr:nvPicPr>
        <xdr:cNvPr id="0" name="image88.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107</xdr:row>
      <xdr:rowOff>0</xdr:rowOff>
    </xdr:from>
    <xdr:ext cx="45720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108</xdr:row>
      <xdr:rowOff>0</xdr:rowOff>
    </xdr:from>
    <xdr:ext cx="485775" cy="447675"/>
    <xdr:pic>
      <xdr:nvPicPr>
        <xdr:cNvPr id="0" name="image112.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109</xdr:row>
      <xdr:rowOff>0</xdr:rowOff>
    </xdr:from>
    <xdr:ext cx="342900" cy="476250"/>
    <xdr:pic>
      <xdr:nvPicPr>
        <xdr:cNvPr id="0" name="image139.png"/>
        <xdr:cNvPicPr preferRelativeResize="0"/>
      </xdr:nvPicPr>
      <xdr:blipFill>
        <a:blip cstate="print" r:embed="rId109"/>
        <a:stretch>
          <a:fillRect/>
        </a:stretch>
      </xdr:blipFill>
      <xdr:spPr>
        <a:prstGeom prst="rect">
          <a:avLst/>
        </a:prstGeom>
        <a:noFill/>
      </xdr:spPr>
    </xdr:pic>
    <xdr:clientData fLocksWithSheet="0"/>
  </xdr:oneCellAnchor>
  <xdr:oneCellAnchor>
    <xdr:from>
      <xdr:col>1</xdr:col>
      <xdr:colOff>0</xdr:colOff>
      <xdr:row>110</xdr:row>
      <xdr:rowOff>0</xdr:rowOff>
    </xdr:from>
    <xdr:ext cx="485775" cy="409575"/>
    <xdr:pic>
      <xdr:nvPicPr>
        <xdr:cNvPr id="0" name="image61.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111</xdr:row>
      <xdr:rowOff>0</xdr:rowOff>
    </xdr:from>
    <xdr:ext cx="485775" cy="419100"/>
    <xdr:pic>
      <xdr:nvPicPr>
        <xdr:cNvPr id="0" name="image106.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112</xdr:row>
      <xdr:rowOff>0</xdr:rowOff>
    </xdr:from>
    <xdr:ext cx="409575" cy="476250"/>
    <xdr:pic>
      <xdr:nvPicPr>
        <xdr:cNvPr id="0" name="image103.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113</xdr:row>
      <xdr:rowOff>0</xdr:rowOff>
    </xdr:from>
    <xdr:ext cx="428625" cy="476250"/>
    <xdr:pic>
      <xdr:nvPicPr>
        <xdr:cNvPr id="0" name="image9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114</xdr:row>
      <xdr:rowOff>0</xdr:rowOff>
    </xdr:from>
    <xdr:ext cx="409575" cy="476250"/>
    <xdr:pic>
      <xdr:nvPicPr>
        <xdr:cNvPr id="0" name="image11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115</xdr:row>
      <xdr:rowOff>0</xdr:rowOff>
    </xdr:from>
    <xdr:ext cx="457200" cy="476250"/>
    <xdr:pic>
      <xdr:nvPicPr>
        <xdr:cNvPr id="0" name="image141.png"/>
        <xdr:cNvPicPr preferRelativeResize="0"/>
      </xdr:nvPicPr>
      <xdr:blipFill>
        <a:blip cstate="print" r:embed="rId115"/>
        <a:stretch>
          <a:fillRect/>
        </a:stretch>
      </xdr:blipFill>
      <xdr:spPr>
        <a:prstGeom prst="rect">
          <a:avLst/>
        </a:prstGeom>
        <a:noFill/>
      </xdr:spPr>
    </xdr:pic>
    <xdr:clientData fLocksWithSheet="0"/>
  </xdr:oneCellAnchor>
  <xdr:oneCellAnchor>
    <xdr:from>
      <xdr:col>1</xdr:col>
      <xdr:colOff>0</xdr:colOff>
      <xdr:row>116</xdr:row>
      <xdr:rowOff>0</xdr:rowOff>
    </xdr:from>
    <xdr:ext cx="447675" cy="476250"/>
    <xdr:pic>
      <xdr:nvPicPr>
        <xdr:cNvPr id="0" name="image12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117</xdr:row>
      <xdr:rowOff>0</xdr:rowOff>
    </xdr:from>
    <xdr:ext cx="428625" cy="476250"/>
    <xdr:pic>
      <xdr:nvPicPr>
        <xdr:cNvPr id="0" name="image111.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118</xdr:row>
      <xdr:rowOff>0</xdr:rowOff>
    </xdr:from>
    <xdr:ext cx="428625" cy="476250"/>
    <xdr:pic>
      <xdr:nvPicPr>
        <xdr:cNvPr id="0" name="image121.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119</xdr:row>
      <xdr:rowOff>0</xdr:rowOff>
    </xdr:from>
    <xdr:ext cx="485775" cy="419100"/>
    <xdr:pic>
      <xdr:nvPicPr>
        <xdr:cNvPr id="0" name="image130.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120</xdr:row>
      <xdr:rowOff>0</xdr:rowOff>
    </xdr:from>
    <xdr:ext cx="428625" cy="476250"/>
    <xdr:pic>
      <xdr:nvPicPr>
        <xdr:cNvPr id="0" name="image118.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121</xdr:row>
      <xdr:rowOff>0</xdr:rowOff>
    </xdr:from>
    <xdr:ext cx="361950" cy="476250"/>
    <xdr:pic>
      <xdr:nvPicPr>
        <xdr:cNvPr id="0" name="image173.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122</xdr:row>
      <xdr:rowOff>0</xdr:rowOff>
    </xdr:from>
    <xdr:ext cx="485775" cy="419100"/>
    <xdr:pic>
      <xdr:nvPicPr>
        <xdr:cNvPr id="0" name="image138.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123</xdr:row>
      <xdr:rowOff>0</xdr:rowOff>
    </xdr:from>
    <xdr:ext cx="485775" cy="457200"/>
    <xdr:pic>
      <xdr:nvPicPr>
        <xdr:cNvPr id="0" name="image170.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124</xdr:row>
      <xdr:rowOff>0</xdr:rowOff>
    </xdr:from>
    <xdr:ext cx="447675" cy="476250"/>
    <xdr:pic>
      <xdr:nvPicPr>
        <xdr:cNvPr id="0" name="image158.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125</xdr:row>
      <xdr:rowOff>0</xdr:rowOff>
    </xdr:from>
    <xdr:ext cx="361950" cy="476250"/>
    <xdr:pic>
      <xdr:nvPicPr>
        <xdr:cNvPr id="0" name="image150.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126</xdr:row>
      <xdr:rowOff>0</xdr:rowOff>
    </xdr:from>
    <xdr:ext cx="485775" cy="457200"/>
    <xdr:pic>
      <xdr:nvPicPr>
        <xdr:cNvPr id="0" name="image100.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127</xdr:row>
      <xdr:rowOff>0</xdr:rowOff>
    </xdr:from>
    <xdr:ext cx="381000" cy="476250"/>
    <xdr:pic>
      <xdr:nvPicPr>
        <xdr:cNvPr id="0" name="image114.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128</xdr:row>
      <xdr:rowOff>0</xdr:rowOff>
    </xdr:from>
    <xdr:ext cx="476250" cy="476250"/>
    <xdr:pic>
      <xdr:nvPicPr>
        <xdr:cNvPr id="0" name="image101.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129</xdr:row>
      <xdr:rowOff>0</xdr:rowOff>
    </xdr:from>
    <xdr:ext cx="400050" cy="476250"/>
    <xdr:pic>
      <xdr:nvPicPr>
        <xdr:cNvPr id="0" name="image151.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130</xdr:row>
      <xdr:rowOff>0</xdr:rowOff>
    </xdr:from>
    <xdr:ext cx="476250" cy="476250"/>
    <xdr:pic>
      <xdr:nvPicPr>
        <xdr:cNvPr id="0" name="image131.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131</xdr:row>
      <xdr:rowOff>0</xdr:rowOff>
    </xdr:from>
    <xdr:ext cx="485775" cy="419100"/>
    <xdr:pic>
      <xdr:nvPicPr>
        <xdr:cNvPr id="0" name="image105.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132</xdr:row>
      <xdr:rowOff>0</xdr:rowOff>
    </xdr:from>
    <xdr:ext cx="409575" cy="476250"/>
    <xdr:pic>
      <xdr:nvPicPr>
        <xdr:cNvPr id="0" name="image117.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133</xdr:row>
      <xdr:rowOff>0</xdr:rowOff>
    </xdr:from>
    <xdr:ext cx="485775" cy="400050"/>
    <xdr:pic>
      <xdr:nvPicPr>
        <xdr:cNvPr id="0" name="image224.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134</xdr:row>
      <xdr:rowOff>0</xdr:rowOff>
    </xdr:from>
    <xdr:ext cx="476250" cy="476250"/>
    <xdr:pic>
      <xdr:nvPicPr>
        <xdr:cNvPr id="0" name="image132.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135</xdr:row>
      <xdr:rowOff>0</xdr:rowOff>
    </xdr:from>
    <xdr:ext cx="438150" cy="476250"/>
    <xdr:pic>
      <xdr:nvPicPr>
        <xdr:cNvPr id="0" name="image122.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136</xdr:row>
      <xdr:rowOff>0</xdr:rowOff>
    </xdr:from>
    <xdr:ext cx="428625" cy="476250"/>
    <xdr:pic>
      <xdr:nvPicPr>
        <xdr:cNvPr id="0" name="image124.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137</xdr:row>
      <xdr:rowOff>0</xdr:rowOff>
    </xdr:from>
    <xdr:ext cx="400050" cy="476250"/>
    <xdr:pic>
      <xdr:nvPicPr>
        <xdr:cNvPr id="0" name="image137.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138</xdr:row>
      <xdr:rowOff>0</xdr:rowOff>
    </xdr:from>
    <xdr:ext cx="485775" cy="419100"/>
    <xdr:pic>
      <xdr:nvPicPr>
        <xdr:cNvPr id="0" name="image113.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139</xdr:row>
      <xdr:rowOff>0</xdr:rowOff>
    </xdr:from>
    <xdr:ext cx="485775" cy="447675"/>
    <xdr:pic>
      <xdr:nvPicPr>
        <xdr:cNvPr id="0" name="image142.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140</xdr:row>
      <xdr:rowOff>0</xdr:rowOff>
    </xdr:from>
    <xdr:ext cx="457200" cy="476250"/>
    <xdr:pic>
      <xdr:nvPicPr>
        <xdr:cNvPr id="0" name="image145.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141</xdr:row>
      <xdr:rowOff>0</xdr:rowOff>
    </xdr:from>
    <xdr:ext cx="485775" cy="371475"/>
    <xdr:pic>
      <xdr:nvPicPr>
        <xdr:cNvPr id="0" name="image140.png"/>
        <xdr:cNvPicPr preferRelativeResize="0"/>
      </xdr:nvPicPr>
      <xdr:blipFill>
        <a:blip cstate="print" r:embed="rId141"/>
        <a:stretch>
          <a:fillRect/>
        </a:stretch>
      </xdr:blipFill>
      <xdr:spPr>
        <a:prstGeom prst="rect">
          <a:avLst/>
        </a:prstGeom>
        <a:noFill/>
      </xdr:spPr>
    </xdr:pic>
    <xdr:clientData fLocksWithSheet="0"/>
  </xdr:oneCellAnchor>
  <xdr:oneCellAnchor>
    <xdr:from>
      <xdr:col>1</xdr:col>
      <xdr:colOff>0</xdr:colOff>
      <xdr:row>142</xdr:row>
      <xdr:rowOff>0</xdr:rowOff>
    </xdr:from>
    <xdr:ext cx="447675" cy="476250"/>
    <xdr:pic>
      <xdr:nvPicPr>
        <xdr:cNvPr id="0" name="image161.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143</xdr:row>
      <xdr:rowOff>0</xdr:rowOff>
    </xdr:from>
    <xdr:ext cx="352425" cy="476250"/>
    <xdr:pic>
      <xdr:nvPicPr>
        <xdr:cNvPr id="0" name="image127.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144</xdr:row>
      <xdr:rowOff>0</xdr:rowOff>
    </xdr:from>
    <xdr:ext cx="485775" cy="371475"/>
    <xdr:pic>
      <xdr:nvPicPr>
        <xdr:cNvPr id="0" name="image155.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145</xdr:row>
      <xdr:rowOff>0</xdr:rowOff>
    </xdr:from>
    <xdr:ext cx="476250" cy="476250"/>
    <xdr:pic>
      <xdr:nvPicPr>
        <xdr:cNvPr id="0" name="image129.png"/>
        <xdr:cNvPicPr preferRelativeResize="0"/>
      </xdr:nvPicPr>
      <xdr:blipFill>
        <a:blip cstate="print" r:embed="rId145"/>
        <a:stretch>
          <a:fillRect/>
        </a:stretch>
      </xdr:blipFill>
      <xdr:spPr>
        <a:prstGeom prst="rect">
          <a:avLst/>
        </a:prstGeom>
        <a:noFill/>
      </xdr:spPr>
    </xdr:pic>
    <xdr:clientData fLocksWithSheet="0"/>
  </xdr:oneCellAnchor>
  <xdr:oneCellAnchor>
    <xdr:from>
      <xdr:col>1</xdr:col>
      <xdr:colOff>0</xdr:colOff>
      <xdr:row>146</xdr:row>
      <xdr:rowOff>0</xdr:rowOff>
    </xdr:from>
    <xdr:ext cx="485775" cy="428625"/>
    <xdr:pic>
      <xdr:nvPicPr>
        <xdr:cNvPr id="0" name="image133.png"/>
        <xdr:cNvPicPr preferRelativeResize="0"/>
      </xdr:nvPicPr>
      <xdr:blipFill>
        <a:blip cstate="print" r:embed="rId146"/>
        <a:stretch>
          <a:fillRect/>
        </a:stretch>
      </xdr:blipFill>
      <xdr:spPr>
        <a:prstGeom prst="rect">
          <a:avLst/>
        </a:prstGeom>
        <a:noFill/>
      </xdr:spPr>
    </xdr:pic>
    <xdr:clientData fLocksWithSheet="0"/>
  </xdr:oneCellAnchor>
  <xdr:oneCellAnchor>
    <xdr:from>
      <xdr:col>1</xdr:col>
      <xdr:colOff>0</xdr:colOff>
      <xdr:row>147</xdr:row>
      <xdr:rowOff>0</xdr:rowOff>
    </xdr:from>
    <xdr:ext cx="390525" cy="476250"/>
    <xdr:pic>
      <xdr:nvPicPr>
        <xdr:cNvPr id="0" name="image134.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148</xdr:row>
      <xdr:rowOff>0</xdr:rowOff>
    </xdr:from>
    <xdr:ext cx="485775" cy="390525"/>
    <xdr:pic>
      <xdr:nvPicPr>
        <xdr:cNvPr id="0" name="image104.png"/>
        <xdr:cNvPicPr preferRelativeResize="0"/>
      </xdr:nvPicPr>
      <xdr:blipFill>
        <a:blip cstate="print" r:embed="rId148"/>
        <a:stretch>
          <a:fillRect/>
        </a:stretch>
      </xdr:blipFill>
      <xdr:spPr>
        <a:prstGeom prst="rect">
          <a:avLst/>
        </a:prstGeom>
        <a:noFill/>
      </xdr:spPr>
    </xdr:pic>
    <xdr:clientData fLocksWithSheet="0"/>
  </xdr:oneCellAnchor>
  <xdr:oneCellAnchor>
    <xdr:from>
      <xdr:col>1</xdr:col>
      <xdr:colOff>0</xdr:colOff>
      <xdr:row>149</xdr:row>
      <xdr:rowOff>0</xdr:rowOff>
    </xdr:from>
    <xdr:ext cx="485775" cy="447675"/>
    <xdr:pic>
      <xdr:nvPicPr>
        <xdr:cNvPr id="0" name="image154.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150</xdr:row>
      <xdr:rowOff>0</xdr:rowOff>
    </xdr:from>
    <xdr:ext cx="447675" cy="476250"/>
    <xdr:pic>
      <xdr:nvPicPr>
        <xdr:cNvPr id="0" name="image160.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151</xdr:row>
      <xdr:rowOff>0</xdr:rowOff>
    </xdr:from>
    <xdr:ext cx="485775" cy="447675"/>
    <xdr:pic>
      <xdr:nvPicPr>
        <xdr:cNvPr id="0" name="image120.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152</xdr:row>
      <xdr:rowOff>0</xdr:rowOff>
    </xdr:from>
    <xdr:ext cx="381000" cy="476250"/>
    <xdr:pic>
      <xdr:nvPicPr>
        <xdr:cNvPr id="0" name="image136.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153</xdr:row>
      <xdr:rowOff>0</xdr:rowOff>
    </xdr:from>
    <xdr:ext cx="381000" cy="476250"/>
    <xdr:pic>
      <xdr:nvPicPr>
        <xdr:cNvPr id="0" name="image176.png"/>
        <xdr:cNvPicPr preferRelativeResize="0"/>
      </xdr:nvPicPr>
      <xdr:blipFill>
        <a:blip cstate="print" r:embed="rId153"/>
        <a:stretch>
          <a:fillRect/>
        </a:stretch>
      </xdr:blipFill>
      <xdr:spPr>
        <a:prstGeom prst="rect">
          <a:avLst/>
        </a:prstGeom>
        <a:noFill/>
      </xdr:spPr>
    </xdr:pic>
    <xdr:clientData fLocksWithSheet="0"/>
  </xdr:oneCellAnchor>
  <xdr:oneCellAnchor>
    <xdr:from>
      <xdr:col>1</xdr:col>
      <xdr:colOff>0</xdr:colOff>
      <xdr:row>154</xdr:row>
      <xdr:rowOff>0</xdr:rowOff>
    </xdr:from>
    <xdr:ext cx="428625" cy="476250"/>
    <xdr:pic>
      <xdr:nvPicPr>
        <xdr:cNvPr id="0" name="image213.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155</xdr:row>
      <xdr:rowOff>0</xdr:rowOff>
    </xdr:from>
    <xdr:ext cx="485775" cy="361950"/>
    <xdr:pic>
      <xdr:nvPicPr>
        <xdr:cNvPr id="0" name="image167.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156</xdr:row>
      <xdr:rowOff>0</xdr:rowOff>
    </xdr:from>
    <xdr:ext cx="447675" cy="476250"/>
    <xdr:pic>
      <xdr:nvPicPr>
        <xdr:cNvPr id="0" name="image159.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157</xdr:row>
      <xdr:rowOff>0</xdr:rowOff>
    </xdr:from>
    <xdr:ext cx="485775" cy="438150"/>
    <xdr:pic>
      <xdr:nvPicPr>
        <xdr:cNvPr id="0" name="image152.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158</xdr:row>
      <xdr:rowOff>0</xdr:rowOff>
    </xdr:from>
    <xdr:ext cx="476250" cy="390525"/>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159</xdr:row>
      <xdr:rowOff>0</xdr:rowOff>
    </xdr:from>
    <xdr:ext cx="485775" cy="381000"/>
    <xdr:pic>
      <xdr:nvPicPr>
        <xdr:cNvPr id="0" name="image144.png"/>
        <xdr:cNvPicPr preferRelativeResize="0"/>
      </xdr:nvPicPr>
      <xdr:blipFill>
        <a:blip cstate="print" r:embed="rId159"/>
        <a:stretch>
          <a:fillRect/>
        </a:stretch>
      </xdr:blipFill>
      <xdr:spPr>
        <a:prstGeom prst="rect">
          <a:avLst/>
        </a:prstGeom>
        <a:noFill/>
      </xdr:spPr>
    </xdr:pic>
    <xdr:clientData fLocksWithSheet="0"/>
  </xdr:oneCellAnchor>
  <xdr:oneCellAnchor>
    <xdr:from>
      <xdr:col>1</xdr:col>
      <xdr:colOff>0</xdr:colOff>
      <xdr:row>160</xdr:row>
      <xdr:rowOff>0</xdr:rowOff>
    </xdr:from>
    <xdr:ext cx="361950" cy="476250"/>
    <xdr:pic>
      <xdr:nvPicPr>
        <xdr:cNvPr id="0" name="image123.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161</xdr:row>
      <xdr:rowOff>0</xdr:rowOff>
    </xdr:from>
    <xdr:ext cx="381000" cy="476250"/>
    <xdr:pic>
      <xdr:nvPicPr>
        <xdr:cNvPr id="0" name="image157.png"/>
        <xdr:cNvPicPr preferRelativeResize="0"/>
      </xdr:nvPicPr>
      <xdr:blipFill>
        <a:blip cstate="print" r:embed="rId161"/>
        <a:stretch>
          <a:fillRect/>
        </a:stretch>
      </xdr:blipFill>
      <xdr:spPr>
        <a:prstGeom prst="rect">
          <a:avLst/>
        </a:prstGeom>
        <a:noFill/>
      </xdr:spPr>
    </xdr:pic>
    <xdr:clientData fLocksWithSheet="0"/>
  </xdr:oneCellAnchor>
  <xdr:oneCellAnchor>
    <xdr:from>
      <xdr:col>1</xdr:col>
      <xdr:colOff>0</xdr:colOff>
      <xdr:row>162</xdr:row>
      <xdr:rowOff>0</xdr:rowOff>
    </xdr:from>
    <xdr:ext cx="428625" cy="476250"/>
    <xdr:pic>
      <xdr:nvPicPr>
        <xdr:cNvPr id="0" name="image168.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163</xdr:row>
      <xdr:rowOff>0</xdr:rowOff>
    </xdr:from>
    <xdr:ext cx="485775" cy="323850"/>
    <xdr:pic>
      <xdr:nvPicPr>
        <xdr:cNvPr id="0" name="image171.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164</xdr:row>
      <xdr:rowOff>0</xdr:rowOff>
    </xdr:from>
    <xdr:ext cx="485775" cy="457200"/>
    <xdr:pic>
      <xdr:nvPicPr>
        <xdr:cNvPr id="0" name="image147.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165</xdr:row>
      <xdr:rowOff>0</xdr:rowOff>
    </xdr:from>
    <xdr:ext cx="428625" cy="476250"/>
    <xdr:pic>
      <xdr:nvPicPr>
        <xdr:cNvPr id="0" name="image148.png"/>
        <xdr:cNvPicPr preferRelativeResize="0"/>
      </xdr:nvPicPr>
      <xdr:blipFill>
        <a:blip cstate="print" r:embed="rId165"/>
        <a:stretch>
          <a:fillRect/>
        </a:stretch>
      </xdr:blipFill>
      <xdr:spPr>
        <a:prstGeom prst="rect">
          <a:avLst/>
        </a:prstGeom>
        <a:noFill/>
      </xdr:spPr>
    </xdr:pic>
    <xdr:clientData fLocksWithSheet="0"/>
  </xdr:oneCellAnchor>
  <xdr:oneCellAnchor>
    <xdr:from>
      <xdr:col>1</xdr:col>
      <xdr:colOff>0</xdr:colOff>
      <xdr:row>166</xdr:row>
      <xdr:rowOff>0</xdr:rowOff>
    </xdr:from>
    <xdr:ext cx="485775" cy="342900"/>
    <xdr:pic>
      <xdr:nvPicPr>
        <xdr:cNvPr id="0" name="image143.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167</xdr:row>
      <xdr:rowOff>0</xdr:rowOff>
    </xdr:from>
    <xdr:ext cx="342900" cy="476250"/>
    <xdr:pic>
      <xdr:nvPicPr>
        <xdr:cNvPr id="0" name="image172.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168</xdr:row>
      <xdr:rowOff>0</xdr:rowOff>
    </xdr:from>
    <xdr:ext cx="485775" cy="419100"/>
    <xdr:pic>
      <xdr:nvPicPr>
        <xdr:cNvPr id="0" name="image166.png"/>
        <xdr:cNvPicPr preferRelativeResize="0"/>
      </xdr:nvPicPr>
      <xdr:blipFill>
        <a:blip cstate="print" r:embed="rId168"/>
        <a:stretch>
          <a:fillRect/>
        </a:stretch>
      </xdr:blipFill>
      <xdr:spPr>
        <a:prstGeom prst="rect">
          <a:avLst/>
        </a:prstGeom>
        <a:noFill/>
      </xdr:spPr>
    </xdr:pic>
    <xdr:clientData fLocksWithSheet="0"/>
  </xdr:oneCellAnchor>
  <xdr:oneCellAnchor>
    <xdr:from>
      <xdr:col>1</xdr:col>
      <xdr:colOff>0</xdr:colOff>
      <xdr:row>169</xdr:row>
      <xdr:rowOff>0</xdr:rowOff>
    </xdr:from>
    <xdr:ext cx="485775" cy="447675"/>
    <xdr:pic>
      <xdr:nvPicPr>
        <xdr:cNvPr id="0" name="image164.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170</xdr:row>
      <xdr:rowOff>0</xdr:rowOff>
    </xdr:from>
    <xdr:ext cx="476250" cy="409575"/>
    <xdr:pic>
      <xdr:nvPicPr>
        <xdr:cNvPr id="0" name="image174.png"/>
        <xdr:cNvPicPr preferRelativeResize="0"/>
      </xdr:nvPicPr>
      <xdr:blipFill>
        <a:blip cstate="print" r:embed="rId170"/>
        <a:stretch>
          <a:fillRect/>
        </a:stretch>
      </xdr:blipFill>
      <xdr:spPr>
        <a:prstGeom prst="rect">
          <a:avLst/>
        </a:prstGeom>
        <a:noFill/>
      </xdr:spPr>
    </xdr:pic>
    <xdr:clientData fLocksWithSheet="0"/>
  </xdr:oneCellAnchor>
  <xdr:oneCellAnchor>
    <xdr:from>
      <xdr:col>1</xdr:col>
      <xdr:colOff>0</xdr:colOff>
      <xdr:row>171</xdr:row>
      <xdr:rowOff>0</xdr:rowOff>
    </xdr:from>
    <xdr:ext cx="485775" cy="390525"/>
    <xdr:pic>
      <xdr:nvPicPr>
        <xdr:cNvPr id="0" name="image153.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172</xdr:row>
      <xdr:rowOff>0</xdr:rowOff>
    </xdr:from>
    <xdr:ext cx="476250" cy="476250"/>
    <xdr:pic>
      <xdr:nvPicPr>
        <xdr:cNvPr id="0" name="image146.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173</xdr:row>
      <xdr:rowOff>0</xdr:rowOff>
    </xdr:from>
    <xdr:ext cx="485775" cy="390525"/>
    <xdr:pic>
      <xdr:nvPicPr>
        <xdr:cNvPr id="0" name="image178.png"/>
        <xdr:cNvPicPr preferRelativeResize="0"/>
      </xdr:nvPicPr>
      <xdr:blipFill>
        <a:blip cstate="print" r:embed="rId173"/>
        <a:stretch>
          <a:fillRect/>
        </a:stretch>
      </xdr:blipFill>
      <xdr:spPr>
        <a:prstGeom prst="rect">
          <a:avLst/>
        </a:prstGeom>
        <a:noFill/>
      </xdr:spPr>
    </xdr:pic>
    <xdr:clientData fLocksWithSheet="0"/>
  </xdr:oneCellAnchor>
  <xdr:oneCellAnchor>
    <xdr:from>
      <xdr:col>1</xdr:col>
      <xdr:colOff>0</xdr:colOff>
      <xdr:row>174</xdr:row>
      <xdr:rowOff>0</xdr:rowOff>
    </xdr:from>
    <xdr:ext cx="333375" cy="476250"/>
    <xdr:pic>
      <xdr:nvPicPr>
        <xdr:cNvPr id="0" name="image149.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175</xdr:row>
      <xdr:rowOff>0</xdr:rowOff>
    </xdr:from>
    <xdr:ext cx="447675" cy="476250"/>
    <xdr:pic>
      <xdr:nvPicPr>
        <xdr:cNvPr id="0" name="image156.png"/>
        <xdr:cNvPicPr preferRelativeResize="0"/>
      </xdr:nvPicPr>
      <xdr:blipFill>
        <a:blip cstate="print" r:embed="rId175"/>
        <a:stretch>
          <a:fillRect/>
        </a:stretch>
      </xdr:blipFill>
      <xdr:spPr>
        <a:prstGeom prst="rect">
          <a:avLst/>
        </a:prstGeom>
        <a:noFill/>
      </xdr:spPr>
    </xdr:pic>
    <xdr:clientData fLocksWithSheet="0"/>
  </xdr:oneCellAnchor>
  <xdr:oneCellAnchor>
    <xdr:from>
      <xdr:col>1</xdr:col>
      <xdr:colOff>0</xdr:colOff>
      <xdr:row>176</xdr:row>
      <xdr:rowOff>0</xdr:rowOff>
    </xdr:from>
    <xdr:ext cx="485775" cy="457200"/>
    <xdr:pic>
      <xdr:nvPicPr>
        <xdr:cNvPr id="0" name="image165.png"/>
        <xdr:cNvPicPr preferRelativeResize="0"/>
      </xdr:nvPicPr>
      <xdr:blipFill>
        <a:blip cstate="print" r:embed="rId176"/>
        <a:stretch>
          <a:fillRect/>
        </a:stretch>
      </xdr:blipFill>
      <xdr:spPr>
        <a:prstGeom prst="rect">
          <a:avLst/>
        </a:prstGeom>
        <a:noFill/>
      </xdr:spPr>
    </xdr:pic>
    <xdr:clientData fLocksWithSheet="0"/>
  </xdr:oneCellAnchor>
  <xdr:oneCellAnchor>
    <xdr:from>
      <xdr:col>1</xdr:col>
      <xdr:colOff>0</xdr:colOff>
      <xdr:row>177</xdr:row>
      <xdr:rowOff>0</xdr:rowOff>
    </xdr:from>
    <xdr:ext cx="485775" cy="295275"/>
    <xdr:pic>
      <xdr:nvPicPr>
        <xdr:cNvPr id="0" name="image179.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178</xdr:row>
      <xdr:rowOff>0</xdr:rowOff>
    </xdr:from>
    <xdr:ext cx="428625" cy="476250"/>
    <xdr:pic>
      <xdr:nvPicPr>
        <xdr:cNvPr id="0" name="image177.png"/>
        <xdr:cNvPicPr preferRelativeResize="0"/>
      </xdr:nvPicPr>
      <xdr:blipFill>
        <a:blip cstate="print" r:embed="rId178"/>
        <a:stretch>
          <a:fillRect/>
        </a:stretch>
      </xdr:blipFill>
      <xdr:spPr>
        <a:prstGeom prst="rect">
          <a:avLst/>
        </a:prstGeom>
        <a:noFill/>
      </xdr:spPr>
    </xdr:pic>
    <xdr:clientData fLocksWithSheet="0"/>
  </xdr:oneCellAnchor>
  <xdr:oneCellAnchor>
    <xdr:from>
      <xdr:col>1</xdr:col>
      <xdr:colOff>0</xdr:colOff>
      <xdr:row>179</xdr:row>
      <xdr:rowOff>0</xdr:rowOff>
    </xdr:from>
    <xdr:ext cx="371475" cy="476250"/>
    <xdr:pic>
      <xdr:nvPicPr>
        <xdr:cNvPr id="0" name="image184.png"/>
        <xdr:cNvPicPr preferRelativeResize="0"/>
      </xdr:nvPicPr>
      <xdr:blipFill>
        <a:blip cstate="print" r:embed="rId179"/>
        <a:stretch>
          <a:fillRect/>
        </a:stretch>
      </xdr:blipFill>
      <xdr:spPr>
        <a:prstGeom prst="rect">
          <a:avLst/>
        </a:prstGeom>
        <a:noFill/>
      </xdr:spPr>
    </xdr:pic>
    <xdr:clientData fLocksWithSheet="0"/>
  </xdr:oneCellAnchor>
  <xdr:oneCellAnchor>
    <xdr:from>
      <xdr:col>1</xdr:col>
      <xdr:colOff>0</xdr:colOff>
      <xdr:row>180</xdr:row>
      <xdr:rowOff>0</xdr:rowOff>
    </xdr:from>
    <xdr:ext cx="485775" cy="438150"/>
    <xdr:pic>
      <xdr:nvPicPr>
        <xdr:cNvPr id="0" name="image203.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181</xdr:row>
      <xdr:rowOff>0</xdr:rowOff>
    </xdr:from>
    <xdr:ext cx="485775" cy="361950"/>
    <xdr:pic>
      <xdr:nvPicPr>
        <xdr:cNvPr id="0" name="image169.png"/>
        <xdr:cNvPicPr preferRelativeResize="0"/>
      </xdr:nvPicPr>
      <xdr:blipFill>
        <a:blip cstate="print" r:embed="rId181"/>
        <a:stretch>
          <a:fillRect/>
        </a:stretch>
      </xdr:blipFill>
      <xdr:spPr>
        <a:prstGeom prst="rect">
          <a:avLst/>
        </a:prstGeom>
        <a:noFill/>
      </xdr:spPr>
    </xdr:pic>
    <xdr:clientData fLocksWithSheet="0"/>
  </xdr:oneCellAnchor>
  <xdr:oneCellAnchor>
    <xdr:from>
      <xdr:col>1</xdr:col>
      <xdr:colOff>0</xdr:colOff>
      <xdr:row>182</xdr:row>
      <xdr:rowOff>0</xdr:rowOff>
    </xdr:from>
    <xdr:ext cx="447675" cy="476250"/>
    <xdr:pic>
      <xdr:nvPicPr>
        <xdr:cNvPr id="0" name="image175.png"/>
        <xdr:cNvPicPr preferRelativeResize="0"/>
      </xdr:nvPicPr>
      <xdr:blipFill>
        <a:blip cstate="print" r:embed="rId182"/>
        <a:stretch>
          <a:fillRect/>
        </a:stretch>
      </xdr:blipFill>
      <xdr:spPr>
        <a:prstGeom prst="rect">
          <a:avLst/>
        </a:prstGeom>
        <a:noFill/>
      </xdr:spPr>
    </xdr:pic>
    <xdr:clientData fLocksWithSheet="0"/>
  </xdr:oneCellAnchor>
  <xdr:oneCellAnchor>
    <xdr:from>
      <xdr:col>1</xdr:col>
      <xdr:colOff>0</xdr:colOff>
      <xdr:row>183</xdr:row>
      <xdr:rowOff>0</xdr:rowOff>
    </xdr:from>
    <xdr:ext cx="476250" cy="476250"/>
    <xdr:pic>
      <xdr:nvPicPr>
        <xdr:cNvPr id="0" name="image202.png"/>
        <xdr:cNvPicPr preferRelativeResize="0"/>
      </xdr:nvPicPr>
      <xdr:blipFill>
        <a:blip cstate="print" r:embed="rId183"/>
        <a:stretch>
          <a:fillRect/>
        </a:stretch>
      </xdr:blipFill>
      <xdr:spPr>
        <a:prstGeom prst="rect">
          <a:avLst/>
        </a:prstGeom>
        <a:noFill/>
      </xdr:spPr>
    </xdr:pic>
    <xdr:clientData fLocksWithSheet="0"/>
  </xdr:oneCellAnchor>
  <xdr:oneCellAnchor>
    <xdr:from>
      <xdr:col>1</xdr:col>
      <xdr:colOff>0</xdr:colOff>
      <xdr:row>184</xdr:row>
      <xdr:rowOff>0</xdr:rowOff>
    </xdr:from>
    <xdr:ext cx="419100" cy="476250"/>
    <xdr:pic>
      <xdr:nvPicPr>
        <xdr:cNvPr id="0" name="image196.png"/>
        <xdr:cNvPicPr preferRelativeResize="0"/>
      </xdr:nvPicPr>
      <xdr:blipFill>
        <a:blip cstate="print" r:embed="rId184"/>
        <a:stretch>
          <a:fillRect/>
        </a:stretch>
      </xdr:blipFill>
      <xdr:spPr>
        <a:prstGeom prst="rect">
          <a:avLst/>
        </a:prstGeom>
        <a:noFill/>
      </xdr:spPr>
    </xdr:pic>
    <xdr:clientData fLocksWithSheet="0"/>
  </xdr:oneCellAnchor>
  <xdr:oneCellAnchor>
    <xdr:from>
      <xdr:col>1</xdr:col>
      <xdr:colOff>0</xdr:colOff>
      <xdr:row>185</xdr:row>
      <xdr:rowOff>0</xdr:rowOff>
    </xdr:from>
    <xdr:ext cx="457200" cy="476250"/>
    <xdr:pic>
      <xdr:nvPicPr>
        <xdr:cNvPr id="0" name="image163.png"/>
        <xdr:cNvPicPr preferRelativeResize="0"/>
      </xdr:nvPicPr>
      <xdr:blipFill>
        <a:blip cstate="print" r:embed="rId185"/>
        <a:stretch>
          <a:fillRect/>
        </a:stretch>
      </xdr:blipFill>
      <xdr:spPr>
        <a:prstGeom prst="rect">
          <a:avLst/>
        </a:prstGeom>
        <a:noFill/>
      </xdr:spPr>
    </xdr:pic>
    <xdr:clientData fLocksWithSheet="0"/>
  </xdr:oneCellAnchor>
  <xdr:oneCellAnchor>
    <xdr:from>
      <xdr:col>1</xdr:col>
      <xdr:colOff>0</xdr:colOff>
      <xdr:row>186</xdr:row>
      <xdr:rowOff>0</xdr:rowOff>
    </xdr:from>
    <xdr:ext cx="485775" cy="457200"/>
    <xdr:pic>
      <xdr:nvPicPr>
        <xdr:cNvPr id="0" name="image180.png"/>
        <xdr:cNvPicPr preferRelativeResize="0"/>
      </xdr:nvPicPr>
      <xdr:blipFill>
        <a:blip cstate="print" r:embed="rId186"/>
        <a:stretch>
          <a:fillRect/>
        </a:stretch>
      </xdr:blipFill>
      <xdr:spPr>
        <a:prstGeom prst="rect">
          <a:avLst/>
        </a:prstGeom>
        <a:noFill/>
      </xdr:spPr>
    </xdr:pic>
    <xdr:clientData fLocksWithSheet="0"/>
  </xdr:oneCellAnchor>
  <xdr:oneCellAnchor>
    <xdr:from>
      <xdr:col>1</xdr:col>
      <xdr:colOff>0</xdr:colOff>
      <xdr:row>187</xdr:row>
      <xdr:rowOff>0</xdr:rowOff>
    </xdr:from>
    <xdr:ext cx="485775" cy="419100"/>
    <xdr:pic>
      <xdr:nvPicPr>
        <xdr:cNvPr id="0" name="image181.png"/>
        <xdr:cNvPicPr preferRelativeResize="0"/>
      </xdr:nvPicPr>
      <xdr:blipFill>
        <a:blip cstate="print" r:embed="rId187"/>
        <a:stretch>
          <a:fillRect/>
        </a:stretch>
      </xdr:blipFill>
      <xdr:spPr>
        <a:prstGeom prst="rect">
          <a:avLst/>
        </a:prstGeom>
        <a:noFill/>
      </xdr:spPr>
    </xdr:pic>
    <xdr:clientData fLocksWithSheet="0"/>
  </xdr:oneCellAnchor>
  <xdr:oneCellAnchor>
    <xdr:from>
      <xdr:col>1</xdr:col>
      <xdr:colOff>0</xdr:colOff>
      <xdr:row>188</xdr:row>
      <xdr:rowOff>0</xdr:rowOff>
    </xdr:from>
    <xdr:ext cx="381000" cy="476250"/>
    <xdr:pic>
      <xdr:nvPicPr>
        <xdr:cNvPr id="0" name="image187.png"/>
        <xdr:cNvPicPr preferRelativeResize="0"/>
      </xdr:nvPicPr>
      <xdr:blipFill>
        <a:blip cstate="print" r:embed="rId188"/>
        <a:stretch>
          <a:fillRect/>
        </a:stretch>
      </xdr:blipFill>
      <xdr:spPr>
        <a:prstGeom prst="rect">
          <a:avLst/>
        </a:prstGeom>
        <a:noFill/>
      </xdr:spPr>
    </xdr:pic>
    <xdr:clientData fLocksWithSheet="0"/>
  </xdr:oneCellAnchor>
  <xdr:oneCellAnchor>
    <xdr:from>
      <xdr:col>1</xdr:col>
      <xdr:colOff>0</xdr:colOff>
      <xdr:row>189</xdr:row>
      <xdr:rowOff>0</xdr:rowOff>
    </xdr:from>
    <xdr:ext cx="485775" cy="400050"/>
    <xdr:pic>
      <xdr:nvPicPr>
        <xdr:cNvPr id="0" name="image183.png"/>
        <xdr:cNvPicPr preferRelativeResize="0"/>
      </xdr:nvPicPr>
      <xdr:blipFill>
        <a:blip cstate="print" r:embed="rId189"/>
        <a:stretch>
          <a:fillRect/>
        </a:stretch>
      </xdr:blipFill>
      <xdr:spPr>
        <a:prstGeom prst="rect">
          <a:avLst/>
        </a:prstGeom>
        <a:noFill/>
      </xdr:spPr>
    </xdr:pic>
    <xdr:clientData fLocksWithSheet="0"/>
  </xdr:oneCellAnchor>
  <xdr:oneCellAnchor>
    <xdr:from>
      <xdr:col>1</xdr:col>
      <xdr:colOff>0</xdr:colOff>
      <xdr:row>190</xdr:row>
      <xdr:rowOff>0</xdr:rowOff>
    </xdr:from>
    <xdr:ext cx="485775" cy="457200"/>
    <xdr:pic>
      <xdr:nvPicPr>
        <xdr:cNvPr id="0" name="image194.png"/>
        <xdr:cNvPicPr preferRelativeResize="0"/>
      </xdr:nvPicPr>
      <xdr:blipFill>
        <a:blip cstate="print" r:embed="rId190"/>
        <a:stretch>
          <a:fillRect/>
        </a:stretch>
      </xdr:blipFill>
      <xdr:spPr>
        <a:prstGeom prst="rect">
          <a:avLst/>
        </a:prstGeom>
        <a:noFill/>
      </xdr:spPr>
    </xdr:pic>
    <xdr:clientData fLocksWithSheet="0"/>
  </xdr:oneCellAnchor>
  <xdr:oneCellAnchor>
    <xdr:from>
      <xdr:col>1</xdr:col>
      <xdr:colOff>0</xdr:colOff>
      <xdr:row>191</xdr:row>
      <xdr:rowOff>0</xdr:rowOff>
    </xdr:from>
    <xdr:ext cx="485775" cy="323850"/>
    <xdr:pic>
      <xdr:nvPicPr>
        <xdr:cNvPr id="0" name="image209.png"/>
        <xdr:cNvPicPr preferRelativeResize="0"/>
      </xdr:nvPicPr>
      <xdr:blipFill>
        <a:blip cstate="print" r:embed="rId191"/>
        <a:stretch>
          <a:fillRect/>
        </a:stretch>
      </xdr:blipFill>
      <xdr:spPr>
        <a:prstGeom prst="rect">
          <a:avLst/>
        </a:prstGeom>
        <a:noFill/>
      </xdr:spPr>
    </xdr:pic>
    <xdr:clientData fLocksWithSheet="0"/>
  </xdr:oneCellAnchor>
  <xdr:oneCellAnchor>
    <xdr:from>
      <xdr:col>1</xdr:col>
      <xdr:colOff>0</xdr:colOff>
      <xdr:row>192</xdr:row>
      <xdr:rowOff>0</xdr:rowOff>
    </xdr:from>
    <xdr:ext cx="485775" cy="457200"/>
    <xdr:pic>
      <xdr:nvPicPr>
        <xdr:cNvPr id="0" name="image236.png"/>
        <xdr:cNvPicPr preferRelativeResize="0"/>
      </xdr:nvPicPr>
      <xdr:blipFill>
        <a:blip cstate="print" r:embed="rId192"/>
        <a:stretch>
          <a:fillRect/>
        </a:stretch>
      </xdr:blipFill>
      <xdr:spPr>
        <a:prstGeom prst="rect">
          <a:avLst/>
        </a:prstGeom>
        <a:noFill/>
      </xdr:spPr>
    </xdr:pic>
    <xdr:clientData fLocksWithSheet="0"/>
  </xdr:oneCellAnchor>
  <xdr:oneCellAnchor>
    <xdr:from>
      <xdr:col>1</xdr:col>
      <xdr:colOff>0</xdr:colOff>
      <xdr:row>193</xdr:row>
      <xdr:rowOff>0</xdr:rowOff>
    </xdr:from>
    <xdr:ext cx="485775" cy="333375"/>
    <xdr:pic>
      <xdr:nvPicPr>
        <xdr:cNvPr id="0" name="image193.png"/>
        <xdr:cNvPicPr preferRelativeResize="0"/>
      </xdr:nvPicPr>
      <xdr:blipFill>
        <a:blip cstate="print" r:embed="rId193"/>
        <a:stretch>
          <a:fillRect/>
        </a:stretch>
      </xdr:blipFill>
      <xdr:spPr>
        <a:prstGeom prst="rect">
          <a:avLst/>
        </a:prstGeom>
        <a:noFill/>
      </xdr:spPr>
    </xdr:pic>
    <xdr:clientData fLocksWithSheet="0"/>
  </xdr:oneCellAnchor>
  <xdr:oneCellAnchor>
    <xdr:from>
      <xdr:col>1</xdr:col>
      <xdr:colOff>0</xdr:colOff>
      <xdr:row>194</xdr:row>
      <xdr:rowOff>0</xdr:rowOff>
    </xdr:from>
    <xdr:ext cx="485775" cy="447675"/>
    <xdr:pic>
      <xdr:nvPicPr>
        <xdr:cNvPr id="0" name="image189.png"/>
        <xdr:cNvPicPr preferRelativeResize="0"/>
      </xdr:nvPicPr>
      <xdr:blipFill>
        <a:blip cstate="print" r:embed="rId194"/>
        <a:stretch>
          <a:fillRect/>
        </a:stretch>
      </xdr:blipFill>
      <xdr:spPr>
        <a:prstGeom prst="rect">
          <a:avLst/>
        </a:prstGeom>
        <a:noFill/>
      </xdr:spPr>
    </xdr:pic>
    <xdr:clientData fLocksWithSheet="0"/>
  </xdr:oneCellAnchor>
  <xdr:oneCellAnchor>
    <xdr:from>
      <xdr:col>1</xdr:col>
      <xdr:colOff>0</xdr:colOff>
      <xdr:row>195</xdr:row>
      <xdr:rowOff>0</xdr:rowOff>
    </xdr:from>
    <xdr:ext cx="409575" cy="476250"/>
    <xdr:pic>
      <xdr:nvPicPr>
        <xdr:cNvPr id="0" name="image188.png"/>
        <xdr:cNvPicPr preferRelativeResize="0"/>
      </xdr:nvPicPr>
      <xdr:blipFill>
        <a:blip cstate="print" r:embed="rId195"/>
        <a:stretch>
          <a:fillRect/>
        </a:stretch>
      </xdr:blipFill>
      <xdr:spPr>
        <a:prstGeom prst="rect">
          <a:avLst/>
        </a:prstGeom>
        <a:noFill/>
      </xdr:spPr>
    </xdr:pic>
    <xdr:clientData fLocksWithSheet="0"/>
  </xdr:oneCellAnchor>
  <xdr:oneCellAnchor>
    <xdr:from>
      <xdr:col>1</xdr:col>
      <xdr:colOff>0</xdr:colOff>
      <xdr:row>196</xdr:row>
      <xdr:rowOff>0</xdr:rowOff>
    </xdr:from>
    <xdr:ext cx="457200" cy="476250"/>
    <xdr:pic>
      <xdr:nvPicPr>
        <xdr:cNvPr id="0" name="image199.png"/>
        <xdr:cNvPicPr preferRelativeResize="0"/>
      </xdr:nvPicPr>
      <xdr:blipFill>
        <a:blip cstate="print" r:embed="rId196"/>
        <a:stretch>
          <a:fillRect/>
        </a:stretch>
      </xdr:blipFill>
      <xdr:spPr>
        <a:prstGeom prst="rect">
          <a:avLst/>
        </a:prstGeom>
        <a:noFill/>
      </xdr:spPr>
    </xdr:pic>
    <xdr:clientData fLocksWithSheet="0"/>
  </xdr:oneCellAnchor>
  <xdr:oneCellAnchor>
    <xdr:from>
      <xdr:col>1</xdr:col>
      <xdr:colOff>0</xdr:colOff>
      <xdr:row>197</xdr:row>
      <xdr:rowOff>0</xdr:rowOff>
    </xdr:from>
    <xdr:ext cx="428625" cy="476250"/>
    <xdr:pic>
      <xdr:nvPicPr>
        <xdr:cNvPr id="0" name="image186.png"/>
        <xdr:cNvPicPr preferRelativeResize="0"/>
      </xdr:nvPicPr>
      <xdr:blipFill>
        <a:blip cstate="print" r:embed="rId197"/>
        <a:stretch>
          <a:fillRect/>
        </a:stretch>
      </xdr:blipFill>
      <xdr:spPr>
        <a:prstGeom prst="rect">
          <a:avLst/>
        </a:prstGeom>
        <a:noFill/>
      </xdr:spPr>
    </xdr:pic>
    <xdr:clientData fLocksWithSheet="0"/>
  </xdr:oneCellAnchor>
  <xdr:oneCellAnchor>
    <xdr:from>
      <xdr:col>1</xdr:col>
      <xdr:colOff>0</xdr:colOff>
      <xdr:row>198</xdr:row>
      <xdr:rowOff>0</xdr:rowOff>
    </xdr:from>
    <xdr:ext cx="390525" cy="476250"/>
    <xdr:pic>
      <xdr:nvPicPr>
        <xdr:cNvPr id="0" name="image198.png"/>
        <xdr:cNvPicPr preferRelativeResize="0"/>
      </xdr:nvPicPr>
      <xdr:blipFill>
        <a:blip cstate="print" r:embed="rId198"/>
        <a:stretch>
          <a:fillRect/>
        </a:stretch>
      </xdr:blipFill>
      <xdr:spPr>
        <a:prstGeom prst="rect">
          <a:avLst/>
        </a:prstGeom>
        <a:noFill/>
      </xdr:spPr>
    </xdr:pic>
    <xdr:clientData fLocksWithSheet="0"/>
  </xdr:oneCellAnchor>
  <xdr:oneCellAnchor>
    <xdr:from>
      <xdr:col>1</xdr:col>
      <xdr:colOff>0</xdr:colOff>
      <xdr:row>199</xdr:row>
      <xdr:rowOff>0</xdr:rowOff>
    </xdr:from>
    <xdr:ext cx="485775" cy="428625"/>
    <xdr:pic>
      <xdr:nvPicPr>
        <xdr:cNvPr id="0" name="image182.png"/>
        <xdr:cNvPicPr preferRelativeResize="0"/>
      </xdr:nvPicPr>
      <xdr:blipFill>
        <a:blip cstate="print" r:embed="rId199"/>
        <a:stretch>
          <a:fillRect/>
        </a:stretch>
      </xdr:blipFill>
      <xdr:spPr>
        <a:prstGeom prst="rect">
          <a:avLst/>
        </a:prstGeom>
        <a:noFill/>
      </xdr:spPr>
    </xdr:pic>
    <xdr:clientData fLocksWithSheet="0"/>
  </xdr:oneCellAnchor>
  <xdr:oneCellAnchor>
    <xdr:from>
      <xdr:col>1</xdr:col>
      <xdr:colOff>0</xdr:colOff>
      <xdr:row>200</xdr:row>
      <xdr:rowOff>0</xdr:rowOff>
    </xdr:from>
    <xdr:ext cx="409575" cy="476250"/>
    <xdr:pic>
      <xdr:nvPicPr>
        <xdr:cNvPr id="0" name="image229.png"/>
        <xdr:cNvPicPr preferRelativeResize="0"/>
      </xdr:nvPicPr>
      <xdr:blipFill>
        <a:blip cstate="print" r:embed="rId200"/>
        <a:stretch>
          <a:fillRect/>
        </a:stretch>
      </xdr:blipFill>
      <xdr:spPr>
        <a:prstGeom prst="rect">
          <a:avLst/>
        </a:prstGeom>
        <a:noFill/>
      </xdr:spPr>
    </xdr:pic>
    <xdr:clientData fLocksWithSheet="0"/>
  </xdr:oneCellAnchor>
  <xdr:oneCellAnchor>
    <xdr:from>
      <xdr:col>1</xdr:col>
      <xdr:colOff>0</xdr:colOff>
      <xdr:row>201</xdr:row>
      <xdr:rowOff>0</xdr:rowOff>
    </xdr:from>
    <xdr:ext cx="485775" cy="428625"/>
    <xdr:pic>
      <xdr:nvPicPr>
        <xdr:cNvPr id="0" name="image201.png"/>
        <xdr:cNvPicPr preferRelativeResize="0"/>
      </xdr:nvPicPr>
      <xdr:blipFill>
        <a:blip cstate="print" r:embed="rId201"/>
        <a:stretch>
          <a:fillRect/>
        </a:stretch>
      </xdr:blipFill>
      <xdr:spPr>
        <a:prstGeom prst="rect">
          <a:avLst/>
        </a:prstGeom>
        <a:noFill/>
      </xdr:spPr>
    </xdr:pic>
    <xdr:clientData fLocksWithSheet="0"/>
  </xdr:oneCellAnchor>
  <xdr:oneCellAnchor>
    <xdr:from>
      <xdr:col>1</xdr:col>
      <xdr:colOff>0</xdr:colOff>
      <xdr:row>202</xdr:row>
      <xdr:rowOff>0</xdr:rowOff>
    </xdr:from>
    <xdr:ext cx="352425" cy="476250"/>
    <xdr:pic>
      <xdr:nvPicPr>
        <xdr:cNvPr id="0" name="image185.png"/>
        <xdr:cNvPicPr preferRelativeResize="0"/>
      </xdr:nvPicPr>
      <xdr:blipFill>
        <a:blip cstate="print" r:embed="rId202"/>
        <a:stretch>
          <a:fillRect/>
        </a:stretch>
      </xdr:blipFill>
      <xdr:spPr>
        <a:prstGeom prst="rect">
          <a:avLst/>
        </a:prstGeom>
        <a:noFill/>
      </xdr:spPr>
    </xdr:pic>
    <xdr:clientData fLocksWithSheet="0"/>
  </xdr:oneCellAnchor>
  <xdr:oneCellAnchor>
    <xdr:from>
      <xdr:col>1</xdr:col>
      <xdr:colOff>0</xdr:colOff>
      <xdr:row>203</xdr:row>
      <xdr:rowOff>0</xdr:rowOff>
    </xdr:from>
    <xdr:ext cx="428625" cy="476250"/>
    <xdr:pic>
      <xdr:nvPicPr>
        <xdr:cNvPr id="0" name="image220.png"/>
        <xdr:cNvPicPr preferRelativeResize="0"/>
      </xdr:nvPicPr>
      <xdr:blipFill>
        <a:blip cstate="print" r:embed="rId203"/>
        <a:stretch>
          <a:fillRect/>
        </a:stretch>
      </xdr:blipFill>
      <xdr:spPr>
        <a:prstGeom prst="rect">
          <a:avLst/>
        </a:prstGeom>
        <a:noFill/>
      </xdr:spPr>
    </xdr:pic>
    <xdr:clientData fLocksWithSheet="0"/>
  </xdr:oneCellAnchor>
  <xdr:oneCellAnchor>
    <xdr:from>
      <xdr:col>1</xdr:col>
      <xdr:colOff>0</xdr:colOff>
      <xdr:row>204</xdr:row>
      <xdr:rowOff>0</xdr:rowOff>
    </xdr:from>
    <xdr:ext cx="485775" cy="400050"/>
    <xdr:pic>
      <xdr:nvPicPr>
        <xdr:cNvPr id="0" name="image211.png"/>
        <xdr:cNvPicPr preferRelativeResize="0"/>
      </xdr:nvPicPr>
      <xdr:blipFill>
        <a:blip cstate="print" r:embed="rId204"/>
        <a:stretch>
          <a:fillRect/>
        </a:stretch>
      </xdr:blipFill>
      <xdr:spPr>
        <a:prstGeom prst="rect">
          <a:avLst/>
        </a:prstGeom>
        <a:noFill/>
      </xdr:spPr>
    </xdr:pic>
    <xdr:clientData fLocksWithSheet="0"/>
  </xdr:oneCellAnchor>
  <xdr:oneCellAnchor>
    <xdr:from>
      <xdr:col>1</xdr:col>
      <xdr:colOff>0</xdr:colOff>
      <xdr:row>205</xdr:row>
      <xdr:rowOff>0</xdr:rowOff>
    </xdr:from>
    <xdr:ext cx="476250" cy="476250"/>
    <xdr:pic>
      <xdr:nvPicPr>
        <xdr:cNvPr id="0" name="image231.png"/>
        <xdr:cNvPicPr preferRelativeResize="0"/>
      </xdr:nvPicPr>
      <xdr:blipFill>
        <a:blip cstate="print" r:embed="rId205"/>
        <a:stretch>
          <a:fillRect/>
        </a:stretch>
      </xdr:blipFill>
      <xdr:spPr>
        <a:prstGeom prst="rect">
          <a:avLst/>
        </a:prstGeom>
        <a:noFill/>
      </xdr:spPr>
    </xdr:pic>
    <xdr:clientData fLocksWithSheet="0"/>
  </xdr:oneCellAnchor>
  <xdr:oneCellAnchor>
    <xdr:from>
      <xdr:col>1</xdr:col>
      <xdr:colOff>0</xdr:colOff>
      <xdr:row>206</xdr:row>
      <xdr:rowOff>0</xdr:rowOff>
    </xdr:from>
    <xdr:ext cx="476250" cy="409575"/>
    <xdr:pic>
      <xdr:nvPicPr>
        <xdr:cNvPr id="0" name="image223.png"/>
        <xdr:cNvPicPr preferRelativeResize="0"/>
      </xdr:nvPicPr>
      <xdr:blipFill>
        <a:blip cstate="print" r:embed="rId206"/>
        <a:stretch>
          <a:fillRect/>
        </a:stretch>
      </xdr:blipFill>
      <xdr:spPr>
        <a:prstGeom prst="rect">
          <a:avLst/>
        </a:prstGeom>
        <a:noFill/>
      </xdr:spPr>
    </xdr:pic>
    <xdr:clientData fLocksWithSheet="0"/>
  </xdr:oneCellAnchor>
  <xdr:oneCellAnchor>
    <xdr:from>
      <xdr:col>1</xdr:col>
      <xdr:colOff>0</xdr:colOff>
      <xdr:row>207</xdr:row>
      <xdr:rowOff>0</xdr:rowOff>
    </xdr:from>
    <xdr:ext cx="485775" cy="457200"/>
    <xdr:pic>
      <xdr:nvPicPr>
        <xdr:cNvPr id="0" name="image197.png"/>
        <xdr:cNvPicPr preferRelativeResize="0"/>
      </xdr:nvPicPr>
      <xdr:blipFill>
        <a:blip cstate="print" r:embed="rId207"/>
        <a:stretch>
          <a:fillRect/>
        </a:stretch>
      </xdr:blipFill>
      <xdr:spPr>
        <a:prstGeom prst="rect">
          <a:avLst/>
        </a:prstGeom>
        <a:noFill/>
      </xdr:spPr>
    </xdr:pic>
    <xdr:clientData fLocksWithSheet="0"/>
  </xdr:oneCellAnchor>
  <xdr:oneCellAnchor>
    <xdr:from>
      <xdr:col>1</xdr:col>
      <xdr:colOff>0</xdr:colOff>
      <xdr:row>208</xdr:row>
      <xdr:rowOff>0</xdr:rowOff>
    </xdr:from>
    <xdr:ext cx="390525" cy="476250"/>
    <xdr:pic>
      <xdr:nvPicPr>
        <xdr:cNvPr id="0" name="image200.png"/>
        <xdr:cNvPicPr preferRelativeResize="0"/>
      </xdr:nvPicPr>
      <xdr:blipFill>
        <a:blip cstate="print" r:embed="rId208"/>
        <a:stretch>
          <a:fillRect/>
        </a:stretch>
      </xdr:blipFill>
      <xdr:spPr>
        <a:prstGeom prst="rect">
          <a:avLst/>
        </a:prstGeom>
        <a:noFill/>
      </xdr:spPr>
    </xdr:pic>
    <xdr:clientData fLocksWithSheet="0"/>
  </xdr:oneCellAnchor>
  <xdr:oneCellAnchor>
    <xdr:from>
      <xdr:col>1</xdr:col>
      <xdr:colOff>0</xdr:colOff>
      <xdr:row>209</xdr:row>
      <xdr:rowOff>0</xdr:rowOff>
    </xdr:from>
    <xdr:ext cx="476250" cy="476250"/>
    <xdr:pic>
      <xdr:nvPicPr>
        <xdr:cNvPr id="0" name="image195.png"/>
        <xdr:cNvPicPr preferRelativeResize="0"/>
      </xdr:nvPicPr>
      <xdr:blipFill>
        <a:blip cstate="print" r:embed="rId209"/>
        <a:stretch>
          <a:fillRect/>
        </a:stretch>
      </xdr:blipFill>
      <xdr:spPr>
        <a:prstGeom prst="rect">
          <a:avLst/>
        </a:prstGeom>
        <a:noFill/>
      </xdr:spPr>
    </xdr:pic>
    <xdr:clientData fLocksWithSheet="0"/>
  </xdr:oneCellAnchor>
  <xdr:oneCellAnchor>
    <xdr:from>
      <xdr:col>1</xdr:col>
      <xdr:colOff>0</xdr:colOff>
      <xdr:row>210</xdr:row>
      <xdr:rowOff>0</xdr:rowOff>
    </xdr:from>
    <xdr:ext cx="476250" cy="438150"/>
    <xdr:pic>
      <xdr:nvPicPr>
        <xdr:cNvPr id="0" name="image253.png"/>
        <xdr:cNvPicPr preferRelativeResize="0"/>
      </xdr:nvPicPr>
      <xdr:blipFill>
        <a:blip cstate="print" r:embed="rId210"/>
        <a:stretch>
          <a:fillRect/>
        </a:stretch>
      </xdr:blipFill>
      <xdr:spPr>
        <a:prstGeom prst="rect">
          <a:avLst/>
        </a:prstGeom>
        <a:noFill/>
      </xdr:spPr>
    </xdr:pic>
    <xdr:clientData fLocksWithSheet="0"/>
  </xdr:oneCellAnchor>
  <xdr:oneCellAnchor>
    <xdr:from>
      <xdr:col>1</xdr:col>
      <xdr:colOff>0</xdr:colOff>
      <xdr:row>211</xdr:row>
      <xdr:rowOff>0</xdr:rowOff>
    </xdr:from>
    <xdr:ext cx="409575" cy="476250"/>
    <xdr:pic>
      <xdr:nvPicPr>
        <xdr:cNvPr id="0" name="image207.png"/>
        <xdr:cNvPicPr preferRelativeResize="0"/>
      </xdr:nvPicPr>
      <xdr:blipFill>
        <a:blip cstate="print" r:embed="rId211"/>
        <a:stretch>
          <a:fillRect/>
        </a:stretch>
      </xdr:blipFill>
      <xdr:spPr>
        <a:prstGeom prst="rect">
          <a:avLst/>
        </a:prstGeom>
        <a:noFill/>
      </xdr:spPr>
    </xdr:pic>
    <xdr:clientData fLocksWithSheet="0"/>
  </xdr:oneCellAnchor>
  <xdr:oneCellAnchor>
    <xdr:from>
      <xdr:col>1</xdr:col>
      <xdr:colOff>0</xdr:colOff>
      <xdr:row>212</xdr:row>
      <xdr:rowOff>0</xdr:rowOff>
    </xdr:from>
    <xdr:ext cx="409575" cy="476250"/>
    <xdr:pic>
      <xdr:nvPicPr>
        <xdr:cNvPr id="0" name="image190.png"/>
        <xdr:cNvPicPr preferRelativeResize="0"/>
      </xdr:nvPicPr>
      <xdr:blipFill>
        <a:blip cstate="print" r:embed="rId212"/>
        <a:stretch>
          <a:fillRect/>
        </a:stretch>
      </xdr:blipFill>
      <xdr:spPr>
        <a:prstGeom prst="rect">
          <a:avLst/>
        </a:prstGeom>
        <a:noFill/>
      </xdr:spPr>
    </xdr:pic>
    <xdr:clientData fLocksWithSheet="0"/>
  </xdr:oneCellAnchor>
  <xdr:oneCellAnchor>
    <xdr:from>
      <xdr:col>1</xdr:col>
      <xdr:colOff>0</xdr:colOff>
      <xdr:row>213</xdr:row>
      <xdr:rowOff>0</xdr:rowOff>
    </xdr:from>
    <xdr:ext cx="485775" cy="400050"/>
    <xdr:pic>
      <xdr:nvPicPr>
        <xdr:cNvPr id="0" name="image191.png"/>
        <xdr:cNvPicPr preferRelativeResize="0"/>
      </xdr:nvPicPr>
      <xdr:blipFill>
        <a:blip cstate="print" r:embed="rId213"/>
        <a:stretch>
          <a:fillRect/>
        </a:stretch>
      </xdr:blipFill>
      <xdr:spPr>
        <a:prstGeom prst="rect">
          <a:avLst/>
        </a:prstGeom>
        <a:noFill/>
      </xdr:spPr>
    </xdr:pic>
    <xdr:clientData fLocksWithSheet="0"/>
  </xdr:oneCellAnchor>
  <xdr:oneCellAnchor>
    <xdr:from>
      <xdr:col>1</xdr:col>
      <xdr:colOff>0</xdr:colOff>
      <xdr:row>214</xdr:row>
      <xdr:rowOff>0</xdr:rowOff>
    </xdr:from>
    <xdr:ext cx="447675" cy="476250"/>
    <xdr:pic>
      <xdr:nvPicPr>
        <xdr:cNvPr id="0" name="image206.png"/>
        <xdr:cNvPicPr preferRelativeResize="0"/>
      </xdr:nvPicPr>
      <xdr:blipFill>
        <a:blip cstate="print" r:embed="rId214"/>
        <a:stretch>
          <a:fillRect/>
        </a:stretch>
      </xdr:blipFill>
      <xdr:spPr>
        <a:prstGeom prst="rect">
          <a:avLst/>
        </a:prstGeom>
        <a:noFill/>
      </xdr:spPr>
    </xdr:pic>
    <xdr:clientData fLocksWithSheet="0"/>
  </xdr:oneCellAnchor>
  <xdr:oneCellAnchor>
    <xdr:from>
      <xdr:col>1</xdr:col>
      <xdr:colOff>0</xdr:colOff>
      <xdr:row>215</xdr:row>
      <xdr:rowOff>0</xdr:rowOff>
    </xdr:from>
    <xdr:ext cx="342900" cy="476250"/>
    <xdr:pic>
      <xdr:nvPicPr>
        <xdr:cNvPr id="0" name="image221.png"/>
        <xdr:cNvPicPr preferRelativeResize="0"/>
      </xdr:nvPicPr>
      <xdr:blipFill>
        <a:blip cstate="print" r:embed="rId215"/>
        <a:stretch>
          <a:fillRect/>
        </a:stretch>
      </xdr:blipFill>
      <xdr:spPr>
        <a:prstGeom prst="rect">
          <a:avLst/>
        </a:prstGeom>
        <a:noFill/>
      </xdr:spPr>
    </xdr:pic>
    <xdr:clientData fLocksWithSheet="0"/>
  </xdr:oneCellAnchor>
  <xdr:oneCellAnchor>
    <xdr:from>
      <xdr:col>1</xdr:col>
      <xdr:colOff>0</xdr:colOff>
      <xdr:row>216</xdr:row>
      <xdr:rowOff>0</xdr:rowOff>
    </xdr:from>
    <xdr:ext cx="381000" cy="476250"/>
    <xdr:pic>
      <xdr:nvPicPr>
        <xdr:cNvPr id="0" name="image218.png"/>
        <xdr:cNvPicPr preferRelativeResize="0"/>
      </xdr:nvPicPr>
      <xdr:blipFill>
        <a:blip cstate="print" r:embed="rId216"/>
        <a:stretch>
          <a:fillRect/>
        </a:stretch>
      </xdr:blipFill>
      <xdr:spPr>
        <a:prstGeom prst="rect">
          <a:avLst/>
        </a:prstGeom>
        <a:noFill/>
      </xdr:spPr>
    </xdr:pic>
    <xdr:clientData fLocksWithSheet="0"/>
  </xdr:oneCellAnchor>
  <xdr:oneCellAnchor>
    <xdr:from>
      <xdr:col>1</xdr:col>
      <xdr:colOff>0</xdr:colOff>
      <xdr:row>217</xdr:row>
      <xdr:rowOff>0</xdr:rowOff>
    </xdr:from>
    <xdr:ext cx="485775" cy="457200"/>
    <xdr:pic>
      <xdr:nvPicPr>
        <xdr:cNvPr id="0" name="image234.png"/>
        <xdr:cNvPicPr preferRelativeResize="0"/>
      </xdr:nvPicPr>
      <xdr:blipFill>
        <a:blip cstate="print" r:embed="rId217"/>
        <a:stretch>
          <a:fillRect/>
        </a:stretch>
      </xdr:blipFill>
      <xdr:spPr>
        <a:prstGeom prst="rect">
          <a:avLst/>
        </a:prstGeom>
        <a:noFill/>
      </xdr:spPr>
    </xdr:pic>
    <xdr:clientData fLocksWithSheet="0"/>
  </xdr:oneCellAnchor>
  <xdr:oneCellAnchor>
    <xdr:from>
      <xdr:col>1</xdr:col>
      <xdr:colOff>0</xdr:colOff>
      <xdr:row>218</xdr:row>
      <xdr:rowOff>0</xdr:rowOff>
    </xdr:from>
    <xdr:ext cx="447675" cy="476250"/>
    <xdr:pic>
      <xdr:nvPicPr>
        <xdr:cNvPr id="0" name="image310.png"/>
        <xdr:cNvPicPr preferRelativeResize="0"/>
      </xdr:nvPicPr>
      <xdr:blipFill>
        <a:blip cstate="print" r:embed="rId218"/>
        <a:stretch>
          <a:fillRect/>
        </a:stretch>
      </xdr:blipFill>
      <xdr:spPr>
        <a:prstGeom prst="rect">
          <a:avLst/>
        </a:prstGeom>
        <a:noFill/>
      </xdr:spPr>
    </xdr:pic>
    <xdr:clientData fLocksWithSheet="0"/>
  </xdr:oneCellAnchor>
  <xdr:oneCellAnchor>
    <xdr:from>
      <xdr:col>1</xdr:col>
      <xdr:colOff>0</xdr:colOff>
      <xdr:row>219</xdr:row>
      <xdr:rowOff>0</xdr:rowOff>
    </xdr:from>
    <xdr:ext cx="476250" cy="457200"/>
    <xdr:pic>
      <xdr:nvPicPr>
        <xdr:cNvPr id="0" name="image192.png"/>
        <xdr:cNvPicPr preferRelativeResize="0"/>
      </xdr:nvPicPr>
      <xdr:blipFill>
        <a:blip cstate="print" r:embed="rId219"/>
        <a:stretch>
          <a:fillRect/>
        </a:stretch>
      </xdr:blipFill>
      <xdr:spPr>
        <a:prstGeom prst="rect">
          <a:avLst/>
        </a:prstGeom>
        <a:noFill/>
      </xdr:spPr>
    </xdr:pic>
    <xdr:clientData fLocksWithSheet="0"/>
  </xdr:oneCellAnchor>
  <xdr:oneCellAnchor>
    <xdr:from>
      <xdr:col>1</xdr:col>
      <xdr:colOff>0</xdr:colOff>
      <xdr:row>220</xdr:row>
      <xdr:rowOff>0</xdr:rowOff>
    </xdr:from>
    <xdr:ext cx="447675" cy="476250"/>
    <xdr:pic>
      <xdr:nvPicPr>
        <xdr:cNvPr id="0" name="image212.png"/>
        <xdr:cNvPicPr preferRelativeResize="0"/>
      </xdr:nvPicPr>
      <xdr:blipFill>
        <a:blip cstate="print" r:embed="rId220"/>
        <a:stretch>
          <a:fillRect/>
        </a:stretch>
      </xdr:blipFill>
      <xdr:spPr>
        <a:prstGeom prst="rect">
          <a:avLst/>
        </a:prstGeom>
        <a:noFill/>
      </xdr:spPr>
    </xdr:pic>
    <xdr:clientData fLocksWithSheet="0"/>
  </xdr:oneCellAnchor>
  <xdr:oneCellAnchor>
    <xdr:from>
      <xdr:col>1</xdr:col>
      <xdr:colOff>0</xdr:colOff>
      <xdr:row>221</xdr:row>
      <xdr:rowOff>0</xdr:rowOff>
    </xdr:from>
    <xdr:ext cx="428625" cy="476250"/>
    <xdr:pic>
      <xdr:nvPicPr>
        <xdr:cNvPr id="0" name="image225.png"/>
        <xdr:cNvPicPr preferRelativeResize="0"/>
      </xdr:nvPicPr>
      <xdr:blipFill>
        <a:blip cstate="print" r:embed="rId221"/>
        <a:stretch>
          <a:fillRect/>
        </a:stretch>
      </xdr:blipFill>
      <xdr:spPr>
        <a:prstGeom prst="rect">
          <a:avLst/>
        </a:prstGeom>
        <a:noFill/>
      </xdr:spPr>
    </xdr:pic>
    <xdr:clientData fLocksWithSheet="0"/>
  </xdr:oneCellAnchor>
  <xdr:oneCellAnchor>
    <xdr:from>
      <xdr:col>1</xdr:col>
      <xdr:colOff>0</xdr:colOff>
      <xdr:row>222</xdr:row>
      <xdr:rowOff>0</xdr:rowOff>
    </xdr:from>
    <xdr:ext cx="485775" cy="361950"/>
    <xdr:pic>
      <xdr:nvPicPr>
        <xdr:cNvPr id="0" name="image205.png"/>
        <xdr:cNvPicPr preferRelativeResize="0"/>
      </xdr:nvPicPr>
      <xdr:blipFill>
        <a:blip cstate="print" r:embed="rId222"/>
        <a:stretch>
          <a:fillRect/>
        </a:stretch>
      </xdr:blipFill>
      <xdr:spPr>
        <a:prstGeom prst="rect">
          <a:avLst/>
        </a:prstGeom>
        <a:noFill/>
      </xdr:spPr>
    </xdr:pic>
    <xdr:clientData fLocksWithSheet="0"/>
  </xdr:oneCellAnchor>
  <xdr:oneCellAnchor>
    <xdr:from>
      <xdr:col>1</xdr:col>
      <xdr:colOff>0</xdr:colOff>
      <xdr:row>223</xdr:row>
      <xdr:rowOff>0</xdr:rowOff>
    </xdr:from>
    <xdr:ext cx="400050" cy="476250"/>
    <xdr:pic>
      <xdr:nvPicPr>
        <xdr:cNvPr id="0" name="image222.png"/>
        <xdr:cNvPicPr preferRelativeResize="0"/>
      </xdr:nvPicPr>
      <xdr:blipFill>
        <a:blip cstate="print" r:embed="rId223"/>
        <a:stretch>
          <a:fillRect/>
        </a:stretch>
      </xdr:blipFill>
      <xdr:spPr>
        <a:prstGeom prst="rect">
          <a:avLst/>
        </a:prstGeom>
        <a:noFill/>
      </xdr:spPr>
    </xdr:pic>
    <xdr:clientData fLocksWithSheet="0"/>
  </xdr:oneCellAnchor>
  <xdr:oneCellAnchor>
    <xdr:from>
      <xdr:col>1</xdr:col>
      <xdr:colOff>0</xdr:colOff>
      <xdr:row>224</xdr:row>
      <xdr:rowOff>0</xdr:rowOff>
    </xdr:from>
    <xdr:ext cx="485775" cy="419100"/>
    <xdr:pic>
      <xdr:nvPicPr>
        <xdr:cNvPr id="0" name="image219.png"/>
        <xdr:cNvPicPr preferRelativeResize="0"/>
      </xdr:nvPicPr>
      <xdr:blipFill>
        <a:blip cstate="print" r:embed="rId224"/>
        <a:stretch>
          <a:fillRect/>
        </a:stretch>
      </xdr:blipFill>
      <xdr:spPr>
        <a:prstGeom prst="rect">
          <a:avLst/>
        </a:prstGeom>
        <a:noFill/>
      </xdr:spPr>
    </xdr:pic>
    <xdr:clientData fLocksWithSheet="0"/>
  </xdr:oneCellAnchor>
  <xdr:oneCellAnchor>
    <xdr:from>
      <xdr:col>1</xdr:col>
      <xdr:colOff>0</xdr:colOff>
      <xdr:row>225</xdr:row>
      <xdr:rowOff>0</xdr:rowOff>
    </xdr:from>
    <xdr:ext cx="342900" cy="476250"/>
    <xdr:pic>
      <xdr:nvPicPr>
        <xdr:cNvPr id="0" name="image214.png"/>
        <xdr:cNvPicPr preferRelativeResize="0"/>
      </xdr:nvPicPr>
      <xdr:blipFill>
        <a:blip cstate="print" r:embed="rId225"/>
        <a:stretch>
          <a:fillRect/>
        </a:stretch>
      </xdr:blipFill>
      <xdr:spPr>
        <a:prstGeom prst="rect">
          <a:avLst/>
        </a:prstGeom>
        <a:noFill/>
      </xdr:spPr>
    </xdr:pic>
    <xdr:clientData fLocksWithSheet="0"/>
  </xdr:oneCellAnchor>
  <xdr:oneCellAnchor>
    <xdr:from>
      <xdr:col>1</xdr:col>
      <xdr:colOff>0</xdr:colOff>
      <xdr:row>226</xdr:row>
      <xdr:rowOff>0</xdr:rowOff>
    </xdr:from>
    <xdr:ext cx="485775" cy="419100"/>
    <xdr:pic>
      <xdr:nvPicPr>
        <xdr:cNvPr id="0" name="image230.png"/>
        <xdr:cNvPicPr preferRelativeResize="0"/>
      </xdr:nvPicPr>
      <xdr:blipFill>
        <a:blip cstate="print" r:embed="rId226"/>
        <a:stretch>
          <a:fillRect/>
        </a:stretch>
      </xdr:blipFill>
      <xdr:spPr>
        <a:prstGeom prst="rect">
          <a:avLst/>
        </a:prstGeom>
        <a:noFill/>
      </xdr:spPr>
    </xdr:pic>
    <xdr:clientData fLocksWithSheet="0"/>
  </xdr:oneCellAnchor>
  <xdr:oneCellAnchor>
    <xdr:from>
      <xdr:col>1</xdr:col>
      <xdr:colOff>0</xdr:colOff>
      <xdr:row>227</xdr:row>
      <xdr:rowOff>0</xdr:rowOff>
    </xdr:from>
    <xdr:ext cx="476250" cy="476250"/>
    <xdr:pic>
      <xdr:nvPicPr>
        <xdr:cNvPr id="0" name="image240.png"/>
        <xdr:cNvPicPr preferRelativeResize="0"/>
      </xdr:nvPicPr>
      <xdr:blipFill>
        <a:blip cstate="print" r:embed="rId227"/>
        <a:stretch>
          <a:fillRect/>
        </a:stretch>
      </xdr:blipFill>
      <xdr:spPr>
        <a:prstGeom prst="rect">
          <a:avLst/>
        </a:prstGeom>
        <a:noFill/>
      </xdr:spPr>
    </xdr:pic>
    <xdr:clientData fLocksWithSheet="0"/>
  </xdr:oneCellAnchor>
  <xdr:oneCellAnchor>
    <xdr:from>
      <xdr:col>1</xdr:col>
      <xdr:colOff>0</xdr:colOff>
      <xdr:row>228</xdr:row>
      <xdr:rowOff>0</xdr:rowOff>
    </xdr:from>
    <xdr:ext cx="409575" cy="476250"/>
    <xdr:pic>
      <xdr:nvPicPr>
        <xdr:cNvPr id="0" name="image215.png"/>
        <xdr:cNvPicPr preferRelativeResize="0"/>
      </xdr:nvPicPr>
      <xdr:blipFill>
        <a:blip cstate="print" r:embed="rId228"/>
        <a:stretch>
          <a:fillRect/>
        </a:stretch>
      </xdr:blipFill>
      <xdr:spPr>
        <a:prstGeom prst="rect">
          <a:avLst/>
        </a:prstGeom>
        <a:noFill/>
      </xdr:spPr>
    </xdr:pic>
    <xdr:clientData fLocksWithSheet="0"/>
  </xdr:oneCellAnchor>
  <xdr:oneCellAnchor>
    <xdr:from>
      <xdr:col>1</xdr:col>
      <xdr:colOff>0</xdr:colOff>
      <xdr:row>229</xdr:row>
      <xdr:rowOff>0</xdr:rowOff>
    </xdr:from>
    <xdr:ext cx="447675" cy="476250"/>
    <xdr:pic>
      <xdr:nvPicPr>
        <xdr:cNvPr id="0" name="image208.png"/>
        <xdr:cNvPicPr preferRelativeResize="0"/>
      </xdr:nvPicPr>
      <xdr:blipFill>
        <a:blip cstate="print" r:embed="rId229"/>
        <a:stretch>
          <a:fillRect/>
        </a:stretch>
      </xdr:blipFill>
      <xdr:spPr>
        <a:prstGeom prst="rect">
          <a:avLst/>
        </a:prstGeom>
        <a:noFill/>
      </xdr:spPr>
    </xdr:pic>
    <xdr:clientData fLocksWithSheet="0"/>
  </xdr:oneCellAnchor>
  <xdr:oneCellAnchor>
    <xdr:from>
      <xdr:col>1</xdr:col>
      <xdr:colOff>0</xdr:colOff>
      <xdr:row>230</xdr:row>
      <xdr:rowOff>0</xdr:rowOff>
    </xdr:from>
    <xdr:ext cx="485775" cy="457200"/>
    <xdr:pic>
      <xdr:nvPicPr>
        <xdr:cNvPr id="0" name="image292.png"/>
        <xdr:cNvPicPr preferRelativeResize="0"/>
      </xdr:nvPicPr>
      <xdr:blipFill>
        <a:blip cstate="print" r:embed="rId230"/>
        <a:stretch>
          <a:fillRect/>
        </a:stretch>
      </xdr:blipFill>
      <xdr:spPr>
        <a:prstGeom prst="rect">
          <a:avLst/>
        </a:prstGeom>
        <a:noFill/>
      </xdr:spPr>
    </xdr:pic>
    <xdr:clientData fLocksWithSheet="0"/>
  </xdr:oneCellAnchor>
  <xdr:oneCellAnchor>
    <xdr:from>
      <xdr:col>1</xdr:col>
      <xdr:colOff>0</xdr:colOff>
      <xdr:row>231</xdr:row>
      <xdr:rowOff>0</xdr:rowOff>
    </xdr:from>
    <xdr:ext cx="476250" cy="476250"/>
    <xdr:pic>
      <xdr:nvPicPr>
        <xdr:cNvPr id="0" name="image210.png"/>
        <xdr:cNvPicPr preferRelativeResize="0"/>
      </xdr:nvPicPr>
      <xdr:blipFill>
        <a:blip cstate="print" r:embed="rId231"/>
        <a:stretch>
          <a:fillRect/>
        </a:stretch>
      </xdr:blipFill>
      <xdr:spPr>
        <a:prstGeom prst="rect">
          <a:avLst/>
        </a:prstGeom>
        <a:noFill/>
      </xdr:spPr>
    </xdr:pic>
    <xdr:clientData fLocksWithSheet="0"/>
  </xdr:oneCellAnchor>
  <xdr:oneCellAnchor>
    <xdr:from>
      <xdr:col>1</xdr:col>
      <xdr:colOff>0</xdr:colOff>
      <xdr:row>232</xdr:row>
      <xdr:rowOff>0</xdr:rowOff>
    </xdr:from>
    <xdr:ext cx="381000" cy="476250"/>
    <xdr:pic>
      <xdr:nvPicPr>
        <xdr:cNvPr id="0" name="image265.png"/>
        <xdr:cNvPicPr preferRelativeResize="0"/>
      </xdr:nvPicPr>
      <xdr:blipFill>
        <a:blip cstate="print" r:embed="rId232"/>
        <a:stretch>
          <a:fillRect/>
        </a:stretch>
      </xdr:blipFill>
      <xdr:spPr>
        <a:prstGeom prst="rect">
          <a:avLst/>
        </a:prstGeom>
        <a:noFill/>
      </xdr:spPr>
    </xdr:pic>
    <xdr:clientData fLocksWithSheet="0"/>
  </xdr:oneCellAnchor>
  <xdr:oneCellAnchor>
    <xdr:from>
      <xdr:col>1</xdr:col>
      <xdr:colOff>0</xdr:colOff>
      <xdr:row>233</xdr:row>
      <xdr:rowOff>0</xdr:rowOff>
    </xdr:from>
    <xdr:ext cx="485775" cy="419100"/>
    <xdr:pic>
      <xdr:nvPicPr>
        <xdr:cNvPr id="0" name="image228.png"/>
        <xdr:cNvPicPr preferRelativeResize="0"/>
      </xdr:nvPicPr>
      <xdr:blipFill>
        <a:blip cstate="print" r:embed="rId233"/>
        <a:stretch>
          <a:fillRect/>
        </a:stretch>
      </xdr:blipFill>
      <xdr:spPr>
        <a:prstGeom prst="rect">
          <a:avLst/>
        </a:prstGeom>
        <a:noFill/>
      </xdr:spPr>
    </xdr:pic>
    <xdr:clientData fLocksWithSheet="0"/>
  </xdr:oneCellAnchor>
  <xdr:oneCellAnchor>
    <xdr:from>
      <xdr:col>1</xdr:col>
      <xdr:colOff>0</xdr:colOff>
      <xdr:row>234</xdr:row>
      <xdr:rowOff>0</xdr:rowOff>
    </xdr:from>
    <xdr:ext cx="400050" cy="476250"/>
    <xdr:pic>
      <xdr:nvPicPr>
        <xdr:cNvPr id="0" name="image204.png"/>
        <xdr:cNvPicPr preferRelativeResize="0"/>
      </xdr:nvPicPr>
      <xdr:blipFill>
        <a:blip cstate="print" r:embed="rId234"/>
        <a:stretch>
          <a:fillRect/>
        </a:stretch>
      </xdr:blipFill>
      <xdr:spPr>
        <a:prstGeom prst="rect">
          <a:avLst/>
        </a:prstGeom>
        <a:noFill/>
      </xdr:spPr>
    </xdr:pic>
    <xdr:clientData fLocksWithSheet="0"/>
  </xdr:oneCellAnchor>
  <xdr:oneCellAnchor>
    <xdr:from>
      <xdr:col>1</xdr:col>
      <xdr:colOff>0</xdr:colOff>
      <xdr:row>235</xdr:row>
      <xdr:rowOff>0</xdr:rowOff>
    </xdr:from>
    <xdr:ext cx="485775" cy="419100"/>
    <xdr:pic>
      <xdr:nvPicPr>
        <xdr:cNvPr id="0" name="image217.png"/>
        <xdr:cNvPicPr preferRelativeResize="0"/>
      </xdr:nvPicPr>
      <xdr:blipFill>
        <a:blip cstate="print" r:embed="rId235"/>
        <a:stretch>
          <a:fillRect/>
        </a:stretch>
      </xdr:blipFill>
      <xdr:spPr>
        <a:prstGeom prst="rect">
          <a:avLst/>
        </a:prstGeom>
        <a:noFill/>
      </xdr:spPr>
    </xdr:pic>
    <xdr:clientData fLocksWithSheet="0"/>
  </xdr:oneCellAnchor>
  <xdr:oneCellAnchor>
    <xdr:from>
      <xdr:col>1</xdr:col>
      <xdr:colOff>0</xdr:colOff>
      <xdr:row>236</xdr:row>
      <xdr:rowOff>0</xdr:rowOff>
    </xdr:from>
    <xdr:ext cx="485775" cy="457200"/>
    <xdr:pic>
      <xdr:nvPicPr>
        <xdr:cNvPr id="0" name="image227.png"/>
        <xdr:cNvPicPr preferRelativeResize="0"/>
      </xdr:nvPicPr>
      <xdr:blipFill>
        <a:blip cstate="print" r:embed="rId236"/>
        <a:stretch>
          <a:fillRect/>
        </a:stretch>
      </xdr:blipFill>
      <xdr:spPr>
        <a:prstGeom prst="rect">
          <a:avLst/>
        </a:prstGeom>
        <a:noFill/>
      </xdr:spPr>
    </xdr:pic>
    <xdr:clientData fLocksWithSheet="0"/>
  </xdr:oneCellAnchor>
  <xdr:oneCellAnchor>
    <xdr:from>
      <xdr:col>1</xdr:col>
      <xdr:colOff>0</xdr:colOff>
      <xdr:row>237</xdr:row>
      <xdr:rowOff>0</xdr:rowOff>
    </xdr:from>
    <xdr:ext cx="485775" cy="419100"/>
    <xdr:pic>
      <xdr:nvPicPr>
        <xdr:cNvPr id="0" name="image260.png"/>
        <xdr:cNvPicPr preferRelativeResize="0"/>
      </xdr:nvPicPr>
      <xdr:blipFill>
        <a:blip cstate="print" r:embed="rId237"/>
        <a:stretch>
          <a:fillRect/>
        </a:stretch>
      </xdr:blipFill>
      <xdr:spPr>
        <a:prstGeom prst="rect">
          <a:avLst/>
        </a:prstGeom>
        <a:noFill/>
      </xdr:spPr>
    </xdr:pic>
    <xdr:clientData fLocksWithSheet="0"/>
  </xdr:oneCellAnchor>
  <xdr:oneCellAnchor>
    <xdr:from>
      <xdr:col>1</xdr:col>
      <xdr:colOff>0</xdr:colOff>
      <xdr:row>238</xdr:row>
      <xdr:rowOff>0</xdr:rowOff>
    </xdr:from>
    <xdr:ext cx="485775" cy="419100"/>
    <xdr:pic>
      <xdr:nvPicPr>
        <xdr:cNvPr id="0" name="image226.png"/>
        <xdr:cNvPicPr preferRelativeResize="0"/>
      </xdr:nvPicPr>
      <xdr:blipFill>
        <a:blip cstate="print" r:embed="rId238"/>
        <a:stretch>
          <a:fillRect/>
        </a:stretch>
      </xdr:blipFill>
      <xdr:spPr>
        <a:prstGeom prst="rect">
          <a:avLst/>
        </a:prstGeom>
        <a:noFill/>
      </xdr:spPr>
    </xdr:pic>
    <xdr:clientData fLocksWithSheet="0"/>
  </xdr:oneCellAnchor>
  <xdr:oneCellAnchor>
    <xdr:from>
      <xdr:col>1</xdr:col>
      <xdr:colOff>0</xdr:colOff>
      <xdr:row>239</xdr:row>
      <xdr:rowOff>0</xdr:rowOff>
    </xdr:from>
    <xdr:ext cx="485775" cy="381000"/>
    <xdr:pic>
      <xdr:nvPicPr>
        <xdr:cNvPr id="0" name="image282.png"/>
        <xdr:cNvPicPr preferRelativeResize="0"/>
      </xdr:nvPicPr>
      <xdr:blipFill>
        <a:blip cstate="print" r:embed="rId239"/>
        <a:stretch>
          <a:fillRect/>
        </a:stretch>
      </xdr:blipFill>
      <xdr:spPr>
        <a:prstGeom prst="rect">
          <a:avLst/>
        </a:prstGeom>
        <a:noFill/>
      </xdr:spPr>
    </xdr:pic>
    <xdr:clientData fLocksWithSheet="0"/>
  </xdr:oneCellAnchor>
  <xdr:oneCellAnchor>
    <xdr:from>
      <xdr:col>1</xdr:col>
      <xdr:colOff>0</xdr:colOff>
      <xdr:row>240</xdr:row>
      <xdr:rowOff>0</xdr:rowOff>
    </xdr:from>
    <xdr:ext cx="485775" cy="457200"/>
    <xdr:pic>
      <xdr:nvPicPr>
        <xdr:cNvPr id="0" name="image216.png"/>
        <xdr:cNvPicPr preferRelativeResize="0"/>
      </xdr:nvPicPr>
      <xdr:blipFill>
        <a:blip cstate="print" r:embed="rId240"/>
        <a:stretch>
          <a:fillRect/>
        </a:stretch>
      </xdr:blipFill>
      <xdr:spPr>
        <a:prstGeom prst="rect">
          <a:avLst/>
        </a:prstGeom>
        <a:noFill/>
      </xdr:spPr>
    </xdr:pic>
    <xdr:clientData fLocksWithSheet="0"/>
  </xdr:oneCellAnchor>
  <xdr:oneCellAnchor>
    <xdr:from>
      <xdr:col>1</xdr:col>
      <xdr:colOff>0</xdr:colOff>
      <xdr:row>241</xdr:row>
      <xdr:rowOff>0</xdr:rowOff>
    </xdr:from>
    <xdr:ext cx="485775" cy="438150"/>
    <xdr:pic>
      <xdr:nvPicPr>
        <xdr:cNvPr id="0" name="image241.png"/>
        <xdr:cNvPicPr preferRelativeResize="0"/>
      </xdr:nvPicPr>
      <xdr:blipFill>
        <a:blip cstate="print" r:embed="rId241"/>
        <a:stretch>
          <a:fillRect/>
        </a:stretch>
      </xdr:blipFill>
      <xdr:spPr>
        <a:prstGeom prst="rect">
          <a:avLst/>
        </a:prstGeom>
        <a:noFill/>
      </xdr:spPr>
    </xdr:pic>
    <xdr:clientData fLocksWithSheet="0"/>
  </xdr:oneCellAnchor>
  <xdr:oneCellAnchor>
    <xdr:from>
      <xdr:col>1</xdr:col>
      <xdr:colOff>0</xdr:colOff>
      <xdr:row>242</xdr:row>
      <xdr:rowOff>0</xdr:rowOff>
    </xdr:from>
    <xdr:ext cx="457200" cy="476250"/>
    <xdr:pic>
      <xdr:nvPicPr>
        <xdr:cNvPr id="0" name="image250.png"/>
        <xdr:cNvPicPr preferRelativeResize="0"/>
      </xdr:nvPicPr>
      <xdr:blipFill>
        <a:blip cstate="print" r:embed="rId242"/>
        <a:stretch>
          <a:fillRect/>
        </a:stretch>
      </xdr:blipFill>
      <xdr:spPr>
        <a:prstGeom prst="rect">
          <a:avLst/>
        </a:prstGeom>
        <a:noFill/>
      </xdr:spPr>
    </xdr:pic>
    <xdr:clientData fLocksWithSheet="0"/>
  </xdr:oneCellAnchor>
  <xdr:oneCellAnchor>
    <xdr:from>
      <xdr:col>1</xdr:col>
      <xdr:colOff>0</xdr:colOff>
      <xdr:row>243</xdr:row>
      <xdr:rowOff>0</xdr:rowOff>
    </xdr:from>
    <xdr:ext cx="476250" cy="476250"/>
    <xdr:pic>
      <xdr:nvPicPr>
        <xdr:cNvPr id="0" name="image248.png"/>
        <xdr:cNvPicPr preferRelativeResize="0"/>
      </xdr:nvPicPr>
      <xdr:blipFill>
        <a:blip cstate="print" r:embed="rId243"/>
        <a:stretch>
          <a:fillRect/>
        </a:stretch>
      </xdr:blipFill>
      <xdr:spPr>
        <a:prstGeom prst="rect">
          <a:avLst/>
        </a:prstGeom>
        <a:noFill/>
      </xdr:spPr>
    </xdr:pic>
    <xdr:clientData fLocksWithSheet="0"/>
  </xdr:oneCellAnchor>
  <xdr:oneCellAnchor>
    <xdr:from>
      <xdr:col>1</xdr:col>
      <xdr:colOff>0</xdr:colOff>
      <xdr:row>244</xdr:row>
      <xdr:rowOff>0</xdr:rowOff>
    </xdr:from>
    <xdr:ext cx="485775" cy="381000"/>
    <xdr:pic>
      <xdr:nvPicPr>
        <xdr:cNvPr id="0" name="image235.png"/>
        <xdr:cNvPicPr preferRelativeResize="0"/>
      </xdr:nvPicPr>
      <xdr:blipFill>
        <a:blip cstate="print" r:embed="rId244"/>
        <a:stretch>
          <a:fillRect/>
        </a:stretch>
      </xdr:blipFill>
      <xdr:spPr>
        <a:prstGeom prst="rect">
          <a:avLst/>
        </a:prstGeom>
        <a:noFill/>
      </xdr:spPr>
    </xdr:pic>
    <xdr:clientData fLocksWithSheet="0"/>
  </xdr:oneCellAnchor>
  <xdr:oneCellAnchor>
    <xdr:from>
      <xdr:col>1</xdr:col>
      <xdr:colOff>0</xdr:colOff>
      <xdr:row>245</xdr:row>
      <xdr:rowOff>0</xdr:rowOff>
    </xdr:from>
    <xdr:ext cx="400050" cy="476250"/>
    <xdr:pic>
      <xdr:nvPicPr>
        <xdr:cNvPr id="0" name="image258.png"/>
        <xdr:cNvPicPr preferRelativeResize="0"/>
      </xdr:nvPicPr>
      <xdr:blipFill>
        <a:blip cstate="print" r:embed="rId245"/>
        <a:stretch>
          <a:fillRect/>
        </a:stretch>
      </xdr:blipFill>
      <xdr:spPr>
        <a:prstGeom prst="rect">
          <a:avLst/>
        </a:prstGeom>
        <a:noFill/>
      </xdr:spPr>
    </xdr:pic>
    <xdr:clientData fLocksWithSheet="0"/>
  </xdr:oneCellAnchor>
  <xdr:oneCellAnchor>
    <xdr:from>
      <xdr:col>1</xdr:col>
      <xdr:colOff>0</xdr:colOff>
      <xdr:row>246</xdr:row>
      <xdr:rowOff>0</xdr:rowOff>
    </xdr:from>
    <xdr:ext cx="390525" cy="476250"/>
    <xdr:pic>
      <xdr:nvPicPr>
        <xdr:cNvPr id="0" name="image233.png"/>
        <xdr:cNvPicPr preferRelativeResize="0"/>
      </xdr:nvPicPr>
      <xdr:blipFill>
        <a:blip cstate="print" r:embed="rId246"/>
        <a:stretch>
          <a:fillRect/>
        </a:stretch>
      </xdr:blipFill>
      <xdr:spPr>
        <a:prstGeom prst="rect">
          <a:avLst/>
        </a:prstGeom>
        <a:noFill/>
      </xdr:spPr>
    </xdr:pic>
    <xdr:clientData fLocksWithSheet="0"/>
  </xdr:oneCellAnchor>
  <xdr:oneCellAnchor>
    <xdr:from>
      <xdr:col>1</xdr:col>
      <xdr:colOff>0</xdr:colOff>
      <xdr:row>247</xdr:row>
      <xdr:rowOff>0</xdr:rowOff>
    </xdr:from>
    <xdr:ext cx="447675" cy="476250"/>
    <xdr:pic>
      <xdr:nvPicPr>
        <xdr:cNvPr id="0" name="image237.png"/>
        <xdr:cNvPicPr preferRelativeResize="0"/>
      </xdr:nvPicPr>
      <xdr:blipFill>
        <a:blip cstate="print" r:embed="rId247"/>
        <a:stretch>
          <a:fillRect/>
        </a:stretch>
      </xdr:blipFill>
      <xdr:spPr>
        <a:prstGeom prst="rect">
          <a:avLst/>
        </a:prstGeom>
        <a:noFill/>
      </xdr:spPr>
    </xdr:pic>
    <xdr:clientData fLocksWithSheet="0"/>
  </xdr:oneCellAnchor>
  <xdr:oneCellAnchor>
    <xdr:from>
      <xdr:col>1</xdr:col>
      <xdr:colOff>0</xdr:colOff>
      <xdr:row>248</xdr:row>
      <xdr:rowOff>0</xdr:rowOff>
    </xdr:from>
    <xdr:ext cx="485775" cy="361950"/>
    <xdr:pic>
      <xdr:nvPicPr>
        <xdr:cNvPr id="0" name="image246.png"/>
        <xdr:cNvPicPr preferRelativeResize="0"/>
      </xdr:nvPicPr>
      <xdr:blipFill>
        <a:blip cstate="print" r:embed="rId248"/>
        <a:stretch>
          <a:fillRect/>
        </a:stretch>
      </xdr:blipFill>
      <xdr:spPr>
        <a:prstGeom prst="rect">
          <a:avLst/>
        </a:prstGeom>
        <a:noFill/>
      </xdr:spPr>
    </xdr:pic>
    <xdr:clientData fLocksWithSheet="0"/>
  </xdr:oneCellAnchor>
  <xdr:oneCellAnchor>
    <xdr:from>
      <xdr:col>1</xdr:col>
      <xdr:colOff>0</xdr:colOff>
      <xdr:row>249</xdr:row>
      <xdr:rowOff>0</xdr:rowOff>
    </xdr:from>
    <xdr:ext cx="409575" cy="476250"/>
    <xdr:pic>
      <xdr:nvPicPr>
        <xdr:cNvPr id="0" name="image239.png"/>
        <xdr:cNvPicPr preferRelativeResize="0"/>
      </xdr:nvPicPr>
      <xdr:blipFill>
        <a:blip cstate="print" r:embed="rId249"/>
        <a:stretch>
          <a:fillRect/>
        </a:stretch>
      </xdr:blipFill>
      <xdr:spPr>
        <a:prstGeom prst="rect">
          <a:avLst/>
        </a:prstGeom>
        <a:noFill/>
      </xdr:spPr>
    </xdr:pic>
    <xdr:clientData fLocksWithSheet="0"/>
  </xdr:oneCellAnchor>
  <xdr:oneCellAnchor>
    <xdr:from>
      <xdr:col>1</xdr:col>
      <xdr:colOff>0</xdr:colOff>
      <xdr:row>250</xdr:row>
      <xdr:rowOff>0</xdr:rowOff>
    </xdr:from>
    <xdr:ext cx="447675" cy="476250"/>
    <xdr:pic>
      <xdr:nvPicPr>
        <xdr:cNvPr id="0" name="image252.png"/>
        <xdr:cNvPicPr preferRelativeResize="0"/>
      </xdr:nvPicPr>
      <xdr:blipFill>
        <a:blip cstate="print" r:embed="rId250"/>
        <a:stretch>
          <a:fillRect/>
        </a:stretch>
      </xdr:blipFill>
      <xdr:spPr>
        <a:prstGeom prst="rect">
          <a:avLst/>
        </a:prstGeom>
        <a:noFill/>
      </xdr:spPr>
    </xdr:pic>
    <xdr:clientData fLocksWithSheet="0"/>
  </xdr:oneCellAnchor>
  <xdr:oneCellAnchor>
    <xdr:from>
      <xdr:col>1</xdr:col>
      <xdr:colOff>0</xdr:colOff>
      <xdr:row>251</xdr:row>
      <xdr:rowOff>0</xdr:rowOff>
    </xdr:from>
    <xdr:ext cx="390525" cy="476250"/>
    <xdr:pic>
      <xdr:nvPicPr>
        <xdr:cNvPr id="0" name="image274.png"/>
        <xdr:cNvPicPr preferRelativeResize="0"/>
      </xdr:nvPicPr>
      <xdr:blipFill>
        <a:blip cstate="print" r:embed="rId251"/>
        <a:stretch>
          <a:fillRect/>
        </a:stretch>
      </xdr:blipFill>
      <xdr:spPr>
        <a:prstGeom prst="rect">
          <a:avLst/>
        </a:prstGeom>
        <a:noFill/>
      </xdr:spPr>
    </xdr:pic>
    <xdr:clientData fLocksWithSheet="0"/>
  </xdr:oneCellAnchor>
  <xdr:oneCellAnchor>
    <xdr:from>
      <xdr:col>1</xdr:col>
      <xdr:colOff>0</xdr:colOff>
      <xdr:row>252</xdr:row>
      <xdr:rowOff>0</xdr:rowOff>
    </xdr:from>
    <xdr:ext cx="476250" cy="476250"/>
    <xdr:pic>
      <xdr:nvPicPr>
        <xdr:cNvPr id="0" name="image279.png"/>
        <xdr:cNvPicPr preferRelativeResize="0"/>
      </xdr:nvPicPr>
      <xdr:blipFill>
        <a:blip cstate="print" r:embed="rId252"/>
        <a:stretch>
          <a:fillRect/>
        </a:stretch>
      </xdr:blipFill>
      <xdr:spPr>
        <a:prstGeom prst="rect">
          <a:avLst/>
        </a:prstGeom>
        <a:noFill/>
      </xdr:spPr>
    </xdr:pic>
    <xdr:clientData fLocksWithSheet="0"/>
  </xdr:oneCellAnchor>
  <xdr:oneCellAnchor>
    <xdr:from>
      <xdr:col>1</xdr:col>
      <xdr:colOff>0</xdr:colOff>
      <xdr:row>253</xdr:row>
      <xdr:rowOff>0</xdr:rowOff>
    </xdr:from>
    <xdr:ext cx="361950" cy="476250"/>
    <xdr:pic>
      <xdr:nvPicPr>
        <xdr:cNvPr id="0" name="image244.png"/>
        <xdr:cNvPicPr preferRelativeResize="0"/>
      </xdr:nvPicPr>
      <xdr:blipFill>
        <a:blip cstate="print" r:embed="rId253"/>
        <a:stretch>
          <a:fillRect/>
        </a:stretch>
      </xdr:blipFill>
      <xdr:spPr>
        <a:prstGeom prst="rect">
          <a:avLst/>
        </a:prstGeom>
        <a:noFill/>
      </xdr:spPr>
    </xdr:pic>
    <xdr:clientData fLocksWithSheet="0"/>
  </xdr:oneCellAnchor>
  <xdr:oneCellAnchor>
    <xdr:from>
      <xdr:col>1</xdr:col>
      <xdr:colOff>0</xdr:colOff>
      <xdr:row>254</xdr:row>
      <xdr:rowOff>0</xdr:rowOff>
    </xdr:from>
    <xdr:ext cx="428625" cy="476250"/>
    <xdr:pic>
      <xdr:nvPicPr>
        <xdr:cNvPr id="0" name="image232.png"/>
        <xdr:cNvPicPr preferRelativeResize="0"/>
      </xdr:nvPicPr>
      <xdr:blipFill>
        <a:blip cstate="print" r:embed="rId254"/>
        <a:stretch>
          <a:fillRect/>
        </a:stretch>
      </xdr:blipFill>
      <xdr:spPr>
        <a:prstGeom prst="rect">
          <a:avLst/>
        </a:prstGeom>
        <a:noFill/>
      </xdr:spPr>
    </xdr:pic>
    <xdr:clientData fLocksWithSheet="0"/>
  </xdr:oneCellAnchor>
  <xdr:oneCellAnchor>
    <xdr:from>
      <xdr:col>1</xdr:col>
      <xdr:colOff>0</xdr:colOff>
      <xdr:row>255</xdr:row>
      <xdr:rowOff>0</xdr:rowOff>
    </xdr:from>
    <xdr:ext cx="485775" cy="390525"/>
    <xdr:pic>
      <xdr:nvPicPr>
        <xdr:cNvPr id="0" name="image275.png"/>
        <xdr:cNvPicPr preferRelativeResize="0"/>
      </xdr:nvPicPr>
      <xdr:blipFill>
        <a:blip cstate="print" r:embed="rId255"/>
        <a:stretch>
          <a:fillRect/>
        </a:stretch>
      </xdr:blipFill>
      <xdr:spPr>
        <a:prstGeom prst="rect">
          <a:avLst/>
        </a:prstGeom>
        <a:noFill/>
      </xdr:spPr>
    </xdr:pic>
    <xdr:clientData fLocksWithSheet="0"/>
  </xdr:oneCellAnchor>
  <xdr:oneCellAnchor>
    <xdr:from>
      <xdr:col>1</xdr:col>
      <xdr:colOff>0</xdr:colOff>
      <xdr:row>256</xdr:row>
      <xdr:rowOff>0</xdr:rowOff>
    </xdr:from>
    <xdr:ext cx="304800" cy="476250"/>
    <xdr:pic>
      <xdr:nvPicPr>
        <xdr:cNvPr id="0" name="image238.png"/>
        <xdr:cNvPicPr preferRelativeResize="0"/>
      </xdr:nvPicPr>
      <xdr:blipFill>
        <a:blip cstate="print" r:embed="rId256"/>
        <a:stretch>
          <a:fillRect/>
        </a:stretch>
      </xdr:blipFill>
      <xdr:spPr>
        <a:prstGeom prst="rect">
          <a:avLst/>
        </a:prstGeom>
        <a:noFill/>
      </xdr:spPr>
    </xdr:pic>
    <xdr:clientData fLocksWithSheet="0"/>
  </xdr:oneCellAnchor>
  <xdr:oneCellAnchor>
    <xdr:from>
      <xdr:col>1</xdr:col>
      <xdr:colOff>0</xdr:colOff>
      <xdr:row>257</xdr:row>
      <xdr:rowOff>0</xdr:rowOff>
    </xdr:from>
    <xdr:ext cx="485775" cy="457200"/>
    <xdr:pic>
      <xdr:nvPicPr>
        <xdr:cNvPr id="0" name="image299.png"/>
        <xdr:cNvPicPr preferRelativeResize="0"/>
      </xdr:nvPicPr>
      <xdr:blipFill>
        <a:blip cstate="print" r:embed="rId257"/>
        <a:stretch>
          <a:fillRect/>
        </a:stretch>
      </xdr:blipFill>
      <xdr:spPr>
        <a:prstGeom prst="rect">
          <a:avLst/>
        </a:prstGeom>
        <a:noFill/>
      </xdr:spPr>
    </xdr:pic>
    <xdr:clientData fLocksWithSheet="0"/>
  </xdr:oneCellAnchor>
  <xdr:oneCellAnchor>
    <xdr:from>
      <xdr:col>1</xdr:col>
      <xdr:colOff>0</xdr:colOff>
      <xdr:row>258</xdr:row>
      <xdr:rowOff>0</xdr:rowOff>
    </xdr:from>
    <xdr:ext cx="419100" cy="476250"/>
    <xdr:pic>
      <xdr:nvPicPr>
        <xdr:cNvPr id="0" name="image267.png"/>
        <xdr:cNvPicPr preferRelativeResize="0"/>
      </xdr:nvPicPr>
      <xdr:blipFill>
        <a:blip cstate="print" r:embed="rId258"/>
        <a:stretch>
          <a:fillRect/>
        </a:stretch>
      </xdr:blipFill>
      <xdr:spPr>
        <a:prstGeom prst="rect">
          <a:avLst/>
        </a:prstGeom>
        <a:noFill/>
      </xdr:spPr>
    </xdr:pic>
    <xdr:clientData fLocksWithSheet="0"/>
  </xdr:oneCellAnchor>
  <xdr:oneCellAnchor>
    <xdr:from>
      <xdr:col>1</xdr:col>
      <xdr:colOff>0</xdr:colOff>
      <xdr:row>259</xdr:row>
      <xdr:rowOff>0</xdr:rowOff>
    </xdr:from>
    <xdr:ext cx="485775" cy="447675"/>
    <xdr:pic>
      <xdr:nvPicPr>
        <xdr:cNvPr id="0" name="image278.png"/>
        <xdr:cNvPicPr preferRelativeResize="0"/>
      </xdr:nvPicPr>
      <xdr:blipFill>
        <a:blip cstate="print" r:embed="rId259"/>
        <a:stretch>
          <a:fillRect/>
        </a:stretch>
      </xdr:blipFill>
      <xdr:spPr>
        <a:prstGeom prst="rect">
          <a:avLst/>
        </a:prstGeom>
        <a:noFill/>
      </xdr:spPr>
    </xdr:pic>
    <xdr:clientData fLocksWithSheet="0"/>
  </xdr:oneCellAnchor>
  <xdr:oneCellAnchor>
    <xdr:from>
      <xdr:col>1</xdr:col>
      <xdr:colOff>0</xdr:colOff>
      <xdr:row>260</xdr:row>
      <xdr:rowOff>0</xdr:rowOff>
    </xdr:from>
    <xdr:ext cx="371475" cy="476250"/>
    <xdr:pic>
      <xdr:nvPicPr>
        <xdr:cNvPr id="0" name="image288.png"/>
        <xdr:cNvPicPr preferRelativeResize="0"/>
      </xdr:nvPicPr>
      <xdr:blipFill>
        <a:blip cstate="print" r:embed="rId260"/>
        <a:stretch>
          <a:fillRect/>
        </a:stretch>
      </xdr:blipFill>
      <xdr:spPr>
        <a:prstGeom prst="rect">
          <a:avLst/>
        </a:prstGeom>
        <a:noFill/>
      </xdr:spPr>
    </xdr:pic>
    <xdr:clientData fLocksWithSheet="0"/>
  </xdr:oneCellAnchor>
  <xdr:oneCellAnchor>
    <xdr:from>
      <xdr:col>1</xdr:col>
      <xdr:colOff>0</xdr:colOff>
      <xdr:row>261</xdr:row>
      <xdr:rowOff>0</xdr:rowOff>
    </xdr:from>
    <xdr:ext cx="390525" cy="476250"/>
    <xdr:pic>
      <xdr:nvPicPr>
        <xdr:cNvPr id="0" name="image247.png"/>
        <xdr:cNvPicPr preferRelativeResize="0"/>
      </xdr:nvPicPr>
      <xdr:blipFill>
        <a:blip cstate="print" r:embed="rId261"/>
        <a:stretch>
          <a:fillRect/>
        </a:stretch>
      </xdr:blipFill>
      <xdr:spPr>
        <a:prstGeom prst="rect">
          <a:avLst/>
        </a:prstGeom>
        <a:noFill/>
      </xdr:spPr>
    </xdr:pic>
    <xdr:clientData fLocksWithSheet="0"/>
  </xdr:oneCellAnchor>
  <xdr:oneCellAnchor>
    <xdr:from>
      <xdr:col>1</xdr:col>
      <xdr:colOff>0</xdr:colOff>
      <xdr:row>262</xdr:row>
      <xdr:rowOff>0</xdr:rowOff>
    </xdr:from>
    <xdr:ext cx="476250" cy="476250"/>
    <xdr:pic>
      <xdr:nvPicPr>
        <xdr:cNvPr id="0" name="image242.png"/>
        <xdr:cNvPicPr preferRelativeResize="0"/>
      </xdr:nvPicPr>
      <xdr:blipFill>
        <a:blip cstate="print" r:embed="rId262"/>
        <a:stretch>
          <a:fillRect/>
        </a:stretch>
      </xdr:blipFill>
      <xdr:spPr>
        <a:prstGeom prst="rect">
          <a:avLst/>
        </a:prstGeom>
        <a:noFill/>
      </xdr:spPr>
    </xdr:pic>
    <xdr:clientData fLocksWithSheet="0"/>
  </xdr:oneCellAnchor>
  <xdr:oneCellAnchor>
    <xdr:from>
      <xdr:col>1</xdr:col>
      <xdr:colOff>0</xdr:colOff>
      <xdr:row>263</xdr:row>
      <xdr:rowOff>0</xdr:rowOff>
    </xdr:from>
    <xdr:ext cx="457200" cy="476250"/>
    <xdr:pic>
      <xdr:nvPicPr>
        <xdr:cNvPr id="0" name="image257.png"/>
        <xdr:cNvPicPr preferRelativeResize="0"/>
      </xdr:nvPicPr>
      <xdr:blipFill>
        <a:blip cstate="print" r:embed="rId263"/>
        <a:stretch>
          <a:fillRect/>
        </a:stretch>
      </xdr:blipFill>
      <xdr:spPr>
        <a:prstGeom prst="rect">
          <a:avLst/>
        </a:prstGeom>
        <a:noFill/>
      </xdr:spPr>
    </xdr:pic>
    <xdr:clientData fLocksWithSheet="0"/>
  </xdr:oneCellAnchor>
  <xdr:oneCellAnchor>
    <xdr:from>
      <xdr:col>1</xdr:col>
      <xdr:colOff>0</xdr:colOff>
      <xdr:row>264</xdr:row>
      <xdr:rowOff>0</xdr:rowOff>
    </xdr:from>
    <xdr:ext cx="371475" cy="476250"/>
    <xdr:pic>
      <xdr:nvPicPr>
        <xdr:cNvPr id="0" name="image243.png"/>
        <xdr:cNvPicPr preferRelativeResize="0"/>
      </xdr:nvPicPr>
      <xdr:blipFill>
        <a:blip cstate="print" r:embed="rId264"/>
        <a:stretch>
          <a:fillRect/>
        </a:stretch>
      </xdr:blipFill>
      <xdr:spPr>
        <a:prstGeom prst="rect">
          <a:avLst/>
        </a:prstGeom>
        <a:noFill/>
      </xdr:spPr>
    </xdr:pic>
    <xdr:clientData fLocksWithSheet="0"/>
  </xdr:oneCellAnchor>
  <xdr:oneCellAnchor>
    <xdr:from>
      <xdr:col>1</xdr:col>
      <xdr:colOff>0</xdr:colOff>
      <xdr:row>265</xdr:row>
      <xdr:rowOff>0</xdr:rowOff>
    </xdr:from>
    <xdr:ext cx="361950" cy="476250"/>
    <xdr:pic>
      <xdr:nvPicPr>
        <xdr:cNvPr id="0" name="image245.png"/>
        <xdr:cNvPicPr preferRelativeResize="0"/>
      </xdr:nvPicPr>
      <xdr:blipFill>
        <a:blip cstate="print" r:embed="rId265"/>
        <a:stretch>
          <a:fillRect/>
        </a:stretch>
      </xdr:blipFill>
      <xdr:spPr>
        <a:prstGeom prst="rect">
          <a:avLst/>
        </a:prstGeom>
        <a:noFill/>
      </xdr:spPr>
    </xdr:pic>
    <xdr:clientData fLocksWithSheet="0"/>
  </xdr:oneCellAnchor>
  <xdr:oneCellAnchor>
    <xdr:from>
      <xdr:col>1</xdr:col>
      <xdr:colOff>0</xdr:colOff>
      <xdr:row>266</xdr:row>
      <xdr:rowOff>0</xdr:rowOff>
    </xdr:from>
    <xdr:ext cx="409575" cy="476250"/>
    <xdr:pic>
      <xdr:nvPicPr>
        <xdr:cNvPr id="0" name="image286.png"/>
        <xdr:cNvPicPr preferRelativeResize="0"/>
      </xdr:nvPicPr>
      <xdr:blipFill>
        <a:blip cstate="print" r:embed="rId266"/>
        <a:stretch>
          <a:fillRect/>
        </a:stretch>
      </xdr:blipFill>
      <xdr:spPr>
        <a:prstGeom prst="rect">
          <a:avLst/>
        </a:prstGeom>
        <a:noFill/>
      </xdr:spPr>
    </xdr:pic>
    <xdr:clientData fLocksWithSheet="0"/>
  </xdr:oneCellAnchor>
  <xdr:oneCellAnchor>
    <xdr:from>
      <xdr:col>1</xdr:col>
      <xdr:colOff>0</xdr:colOff>
      <xdr:row>267</xdr:row>
      <xdr:rowOff>0</xdr:rowOff>
    </xdr:from>
    <xdr:ext cx="485775" cy="466725"/>
    <xdr:pic>
      <xdr:nvPicPr>
        <xdr:cNvPr id="0" name="image264.png"/>
        <xdr:cNvPicPr preferRelativeResize="0"/>
      </xdr:nvPicPr>
      <xdr:blipFill>
        <a:blip cstate="print" r:embed="rId267"/>
        <a:stretch>
          <a:fillRect/>
        </a:stretch>
      </xdr:blipFill>
      <xdr:spPr>
        <a:prstGeom prst="rect">
          <a:avLst/>
        </a:prstGeom>
        <a:noFill/>
      </xdr:spPr>
    </xdr:pic>
    <xdr:clientData fLocksWithSheet="0"/>
  </xdr:oneCellAnchor>
  <xdr:oneCellAnchor>
    <xdr:from>
      <xdr:col>1</xdr:col>
      <xdr:colOff>0</xdr:colOff>
      <xdr:row>268</xdr:row>
      <xdr:rowOff>0</xdr:rowOff>
    </xdr:from>
    <xdr:ext cx="390525" cy="476250"/>
    <xdr:pic>
      <xdr:nvPicPr>
        <xdr:cNvPr id="0" name="image266.png"/>
        <xdr:cNvPicPr preferRelativeResize="0"/>
      </xdr:nvPicPr>
      <xdr:blipFill>
        <a:blip cstate="print" r:embed="rId268"/>
        <a:stretch>
          <a:fillRect/>
        </a:stretch>
      </xdr:blipFill>
      <xdr:spPr>
        <a:prstGeom prst="rect">
          <a:avLst/>
        </a:prstGeom>
        <a:noFill/>
      </xdr:spPr>
    </xdr:pic>
    <xdr:clientData fLocksWithSheet="0"/>
  </xdr:oneCellAnchor>
  <xdr:oneCellAnchor>
    <xdr:from>
      <xdr:col>1</xdr:col>
      <xdr:colOff>0</xdr:colOff>
      <xdr:row>269</xdr:row>
      <xdr:rowOff>0</xdr:rowOff>
    </xdr:from>
    <xdr:ext cx="476250" cy="409575"/>
    <xdr:pic>
      <xdr:nvPicPr>
        <xdr:cNvPr id="0" name="image254.png"/>
        <xdr:cNvPicPr preferRelativeResize="0"/>
      </xdr:nvPicPr>
      <xdr:blipFill>
        <a:blip cstate="print" r:embed="rId269"/>
        <a:stretch>
          <a:fillRect/>
        </a:stretch>
      </xdr:blipFill>
      <xdr:spPr>
        <a:prstGeom prst="rect">
          <a:avLst/>
        </a:prstGeom>
        <a:noFill/>
      </xdr:spPr>
    </xdr:pic>
    <xdr:clientData fLocksWithSheet="0"/>
  </xdr:oneCellAnchor>
  <xdr:oneCellAnchor>
    <xdr:from>
      <xdr:col>1</xdr:col>
      <xdr:colOff>0</xdr:colOff>
      <xdr:row>270</xdr:row>
      <xdr:rowOff>0</xdr:rowOff>
    </xdr:from>
    <xdr:ext cx="485775" cy="371475"/>
    <xdr:pic>
      <xdr:nvPicPr>
        <xdr:cNvPr id="0" name="image290.png"/>
        <xdr:cNvPicPr preferRelativeResize="0"/>
      </xdr:nvPicPr>
      <xdr:blipFill>
        <a:blip cstate="print" r:embed="rId270"/>
        <a:stretch>
          <a:fillRect/>
        </a:stretch>
      </xdr:blipFill>
      <xdr:spPr>
        <a:prstGeom prst="rect">
          <a:avLst/>
        </a:prstGeom>
        <a:noFill/>
      </xdr:spPr>
    </xdr:pic>
    <xdr:clientData fLocksWithSheet="0"/>
  </xdr:oneCellAnchor>
  <xdr:oneCellAnchor>
    <xdr:from>
      <xdr:col>1</xdr:col>
      <xdr:colOff>0</xdr:colOff>
      <xdr:row>271</xdr:row>
      <xdr:rowOff>0</xdr:rowOff>
    </xdr:from>
    <xdr:ext cx="485775" cy="371475"/>
    <xdr:pic>
      <xdr:nvPicPr>
        <xdr:cNvPr id="0" name="image263.png"/>
        <xdr:cNvPicPr preferRelativeResize="0"/>
      </xdr:nvPicPr>
      <xdr:blipFill>
        <a:blip cstate="print" r:embed="rId271"/>
        <a:stretch>
          <a:fillRect/>
        </a:stretch>
      </xdr:blipFill>
      <xdr:spPr>
        <a:prstGeom prst="rect">
          <a:avLst/>
        </a:prstGeom>
        <a:noFill/>
      </xdr:spPr>
    </xdr:pic>
    <xdr:clientData fLocksWithSheet="0"/>
  </xdr:oneCellAnchor>
  <xdr:oneCellAnchor>
    <xdr:from>
      <xdr:col>1</xdr:col>
      <xdr:colOff>0</xdr:colOff>
      <xdr:row>272</xdr:row>
      <xdr:rowOff>0</xdr:rowOff>
    </xdr:from>
    <xdr:ext cx="419100" cy="476250"/>
    <xdr:pic>
      <xdr:nvPicPr>
        <xdr:cNvPr id="0" name="image259.png"/>
        <xdr:cNvPicPr preferRelativeResize="0"/>
      </xdr:nvPicPr>
      <xdr:blipFill>
        <a:blip cstate="print" r:embed="rId272"/>
        <a:stretch>
          <a:fillRect/>
        </a:stretch>
      </xdr:blipFill>
      <xdr:spPr>
        <a:prstGeom prst="rect">
          <a:avLst/>
        </a:prstGeom>
        <a:noFill/>
      </xdr:spPr>
    </xdr:pic>
    <xdr:clientData fLocksWithSheet="0"/>
  </xdr:oneCellAnchor>
  <xdr:oneCellAnchor>
    <xdr:from>
      <xdr:col>1</xdr:col>
      <xdr:colOff>0</xdr:colOff>
      <xdr:row>273</xdr:row>
      <xdr:rowOff>0</xdr:rowOff>
    </xdr:from>
    <xdr:ext cx="381000" cy="476250"/>
    <xdr:pic>
      <xdr:nvPicPr>
        <xdr:cNvPr id="0" name="image256.png"/>
        <xdr:cNvPicPr preferRelativeResize="0"/>
      </xdr:nvPicPr>
      <xdr:blipFill>
        <a:blip cstate="print" r:embed="rId273"/>
        <a:stretch>
          <a:fillRect/>
        </a:stretch>
      </xdr:blipFill>
      <xdr:spPr>
        <a:prstGeom prst="rect">
          <a:avLst/>
        </a:prstGeom>
        <a:noFill/>
      </xdr:spPr>
    </xdr:pic>
    <xdr:clientData fLocksWithSheet="0"/>
  </xdr:oneCellAnchor>
  <xdr:oneCellAnchor>
    <xdr:from>
      <xdr:col>1</xdr:col>
      <xdr:colOff>0</xdr:colOff>
      <xdr:row>274</xdr:row>
      <xdr:rowOff>0</xdr:rowOff>
    </xdr:from>
    <xdr:ext cx="485775" cy="457200"/>
    <xdr:pic>
      <xdr:nvPicPr>
        <xdr:cNvPr id="0" name="image255.png"/>
        <xdr:cNvPicPr preferRelativeResize="0"/>
      </xdr:nvPicPr>
      <xdr:blipFill>
        <a:blip cstate="print" r:embed="rId274"/>
        <a:stretch>
          <a:fillRect/>
        </a:stretch>
      </xdr:blipFill>
      <xdr:spPr>
        <a:prstGeom prst="rect">
          <a:avLst/>
        </a:prstGeom>
        <a:noFill/>
      </xdr:spPr>
    </xdr:pic>
    <xdr:clientData fLocksWithSheet="0"/>
  </xdr:oneCellAnchor>
  <xdr:oneCellAnchor>
    <xdr:from>
      <xdr:col>1</xdr:col>
      <xdr:colOff>0</xdr:colOff>
      <xdr:row>275</xdr:row>
      <xdr:rowOff>0</xdr:rowOff>
    </xdr:from>
    <xdr:ext cx="485775" cy="457200"/>
    <xdr:pic>
      <xdr:nvPicPr>
        <xdr:cNvPr id="0" name="image272.png"/>
        <xdr:cNvPicPr preferRelativeResize="0"/>
      </xdr:nvPicPr>
      <xdr:blipFill>
        <a:blip cstate="print" r:embed="rId275"/>
        <a:stretch>
          <a:fillRect/>
        </a:stretch>
      </xdr:blipFill>
      <xdr:spPr>
        <a:prstGeom prst="rect">
          <a:avLst/>
        </a:prstGeom>
        <a:noFill/>
      </xdr:spPr>
    </xdr:pic>
    <xdr:clientData fLocksWithSheet="0"/>
  </xdr:oneCellAnchor>
  <xdr:oneCellAnchor>
    <xdr:from>
      <xdr:col>1</xdr:col>
      <xdr:colOff>0</xdr:colOff>
      <xdr:row>276</xdr:row>
      <xdr:rowOff>0</xdr:rowOff>
    </xdr:from>
    <xdr:ext cx="409575" cy="476250"/>
    <xdr:pic>
      <xdr:nvPicPr>
        <xdr:cNvPr id="0" name="image281.png"/>
        <xdr:cNvPicPr preferRelativeResize="0"/>
      </xdr:nvPicPr>
      <xdr:blipFill>
        <a:blip cstate="print" r:embed="rId276"/>
        <a:stretch>
          <a:fillRect/>
        </a:stretch>
      </xdr:blipFill>
      <xdr:spPr>
        <a:prstGeom prst="rect">
          <a:avLst/>
        </a:prstGeom>
        <a:noFill/>
      </xdr:spPr>
    </xdr:pic>
    <xdr:clientData fLocksWithSheet="0"/>
  </xdr:oneCellAnchor>
  <xdr:oneCellAnchor>
    <xdr:from>
      <xdr:col>1</xdr:col>
      <xdr:colOff>0</xdr:colOff>
      <xdr:row>277</xdr:row>
      <xdr:rowOff>0</xdr:rowOff>
    </xdr:from>
    <xdr:ext cx="485775" cy="400050"/>
    <xdr:pic>
      <xdr:nvPicPr>
        <xdr:cNvPr id="0" name="image249.png"/>
        <xdr:cNvPicPr preferRelativeResize="0"/>
      </xdr:nvPicPr>
      <xdr:blipFill>
        <a:blip cstate="print" r:embed="rId277"/>
        <a:stretch>
          <a:fillRect/>
        </a:stretch>
      </xdr:blipFill>
      <xdr:spPr>
        <a:prstGeom prst="rect">
          <a:avLst/>
        </a:prstGeom>
        <a:noFill/>
      </xdr:spPr>
    </xdr:pic>
    <xdr:clientData fLocksWithSheet="0"/>
  </xdr:oneCellAnchor>
  <xdr:oneCellAnchor>
    <xdr:from>
      <xdr:col>1</xdr:col>
      <xdr:colOff>0</xdr:colOff>
      <xdr:row>278</xdr:row>
      <xdr:rowOff>0</xdr:rowOff>
    </xdr:from>
    <xdr:ext cx="485775" cy="323850"/>
    <xdr:pic>
      <xdr:nvPicPr>
        <xdr:cNvPr id="0" name="image261.png"/>
        <xdr:cNvPicPr preferRelativeResize="0"/>
      </xdr:nvPicPr>
      <xdr:blipFill>
        <a:blip cstate="print" r:embed="rId278"/>
        <a:stretch>
          <a:fillRect/>
        </a:stretch>
      </xdr:blipFill>
      <xdr:spPr>
        <a:prstGeom prst="rect">
          <a:avLst/>
        </a:prstGeom>
        <a:noFill/>
      </xdr:spPr>
    </xdr:pic>
    <xdr:clientData fLocksWithSheet="0"/>
  </xdr:oneCellAnchor>
  <xdr:oneCellAnchor>
    <xdr:from>
      <xdr:col>1</xdr:col>
      <xdr:colOff>0</xdr:colOff>
      <xdr:row>279</xdr:row>
      <xdr:rowOff>0</xdr:rowOff>
    </xdr:from>
    <xdr:ext cx="485775" cy="381000"/>
    <xdr:pic>
      <xdr:nvPicPr>
        <xdr:cNvPr id="0" name="image269.png"/>
        <xdr:cNvPicPr preferRelativeResize="0"/>
      </xdr:nvPicPr>
      <xdr:blipFill>
        <a:blip cstate="print" r:embed="rId279"/>
        <a:stretch>
          <a:fillRect/>
        </a:stretch>
      </xdr:blipFill>
      <xdr:spPr>
        <a:prstGeom prst="rect">
          <a:avLst/>
        </a:prstGeom>
        <a:noFill/>
      </xdr:spPr>
    </xdr:pic>
    <xdr:clientData fLocksWithSheet="0"/>
  </xdr:oneCellAnchor>
  <xdr:oneCellAnchor>
    <xdr:from>
      <xdr:col>1</xdr:col>
      <xdr:colOff>0</xdr:colOff>
      <xdr:row>280</xdr:row>
      <xdr:rowOff>0</xdr:rowOff>
    </xdr:from>
    <xdr:ext cx="371475" cy="476250"/>
    <xdr:pic>
      <xdr:nvPicPr>
        <xdr:cNvPr id="0" name="image285.png"/>
        <xdr:cNvPicPr preferRelativeResize="0"/>
      </xdr:nvPicPr>
      <xdr:blipFill>
        <a:blip cstate="print" r:embed="rId280"/>
        <a:stretch>
          <a:fillRect/>
        </a:stretch>
      </xdr:blipFill>
      <xdr:spPr>
        <a:prstGeom prst="rect">
          <a:avLst/>
        </a:prstGeom>
        <a:noFill/>
      </xdr:spPr>
    </xdr:pic>
    <xdr:clientData fLocksWithSheet="0"/>
  </xdr:oneCellAnchor>
  <xdr:oneCellAnchor>
    <xdr:from>
      <xdr:col>1</xdr:col>
      <xdr:colOff>0</xdr:colOff>
      <xdr:row>281</xdr:row>
      <xdr:rowOff>0</xdr:rowOff>
    </xdr:from>
    <xdr:ext cx="457200" cy="476250"/>
    <xdr:pic>
      <xdr:nvPicPr>
        <xdr:cNvPr id="0" name="image306.png"/>
        <xdr:cNvPicPr preferRelativeResize="0"/>
      </xdr:nvPicPr>
      <xdr:blipFill>
        <a:blip cstate="print" r:embed="rId281"/>
        <a:stretch>
          <a:fillRect/>
        </a:stretch>
      </xdr:blipFill>
      <xdr:spPr>
        <a:prstGeom prst="rect">
          <a:avLst/>
        </a:prstGeom>
        <a:noFill/>
      </xdr:spPr>
    </xdr:pic>
    <xdr:clientData fLocksWithSheet="0"/>
  </xdr:oneCellAnchor>
  <xdr:oneCellAnchor>
    <xdr:from>
      <xdr:col>1</xdr:col>
      <xdr:colOff>0</xdr:colOff>
      <xdr:row>282</xdr:row>
      <xdr:rowOff>0</xdr:rowOff>
    </xdr:from>
    <xdr:ext cx="485775" cy="438150"/>
    <xdr:pic>
      <xdr:nvPicPr>
        <xdr:cNvPr id="0" name="image251.png"/>
        <xdr:cNvPicPr preferRelativeResize="0"/>
      </xdr:nvPicPr>
      <xdr:blipFill>
        <a:blip cstate="print" r:embed="rId282"/>
        <a:stretch>
          <a:fillRect/>
        </a:stretch>
      </xdr:blipFill>
      <xdr:spPr>
        <a:prstGeom prst="rect">
          <a:avLst/>
        </a:prstGeom>
        <a:noFill/>
      </xdr:spPr>
    </xdr:pic>
    <xdr:clientData fLocksWithSheet="0"/>
  </xdr:oneCellAnchor>
  <xdr:oneCellAnchor>
    <xdr:from>
      <xdr:col>1</xdr:col>
      <xdr:colOff>0</xdr:colOff>
      <xdr:row>283</xdr:row>
      <xdr:rowOff>0</xdr:rowOff>
    </xdr:from>
    <xdr:ext cx="485775" cy="400050"/>
    <xdr:pic>
      <xdr:nvPicPr>
        <xdr:cNvPr id="0" name="image276.png"/>
        <xdr:cNvPicPr preferRelativeResize="0"/>
      </xdr:nvPicPr>
      <xdr:blipFill>
        <a:blip cstate="print" r:embed="rId283"/>
        <a:stretch>
          <a:fillRect/>
        </a:stretch>
      </xdr:blipFill>
      <xdr:spPr>
        <a:prstGeom prst="rect">
          <a:avLst/>
        </a:prstGeom>
        <a:noFill/>
      </xdr:spPr>
    </xdr:pic>
    <xdr:clientData fLocksWithSheet="0"/>
  </xdr:oneCellAnchor>
  <xdr:oneCellAnchor>
    <xdr:from>
      <xdr:col>1</xdr:col>
      <xdr:colOff>0</xdr:colOff>
      <xdr:row>284</xdr:row>
      <xdr:rowOff>0</xdr:rowOff>
    </xdr:from>
    <xdr:ext cx="485775" cy="409575"/>
    <xdr:pic>
      <xdr:nvPicPr>
        <xdr:cNvPr id="0" name="image268.png"/>
        <xdr:cNvPicPr preferRelativeResize="0"/>
      </xdr:nvPicPr>
      <xdr:blipFill>
        <a:blip cstate="print" r:embed="rId284"/>
        <a:stretch>
          <a:fillRect/>
        </a:stretch>
      </xdr:blipFill>
      <xdr:spPr>
        <a:prstGeom prst="rect">
          <a:avLst/>
        </a:prstGeom>
        <a:noFill/>
      </xdr:spPr>
    </xdr:pic>
    <xdr:clientData fLocksWithSheet="0"/>
  </xdr:oneCellAnchor>
  <xdr:oneCellAnchor>
    <xdr:from>
      <xdr:col>1</xdr:col>
      <xdr:colOff>0</xdr:colOff>
      <xdr:row>285</xdr:row>
      <xdr:rowOff>0</xdr:rowOff>
    </xdr:from>
    <xdr:ext cx="485775" cy="438150"/>
    <xdr:pic>
      <xdr:nvPicPr>
        <xdr:cNvPr id="0" name="image291.png"/>
        <xdr:cNvPicPr preferRelativeResize="0"/>
      </xdr:nvPicPr>
      <xdr:blipFill>
        <a:blip cstate="print" r:embed="rId285"/>
        <a:stretch>
          <a:fillRect/>
        </a:stretch>
      </xdr:blipFill>
      <xdr:spPr>
        <a:prstGeom prst="rect">
          <a:avLst/>
        </a:prstGeom>
        <a:noFill/>
      </xdr:spPr>
    </xdr:pic>
    <xdr:clientData fLocksWithSheet="0"/>
  </xdr:oneCellAnchor>
  <xdr:oneCellAnchor>
    <xdr:from>
      <xdr:col>1</xdr:col>
      <xdr:colOff>0</xdr:colOff>
      <xdr:row>286</xdr:row>
      <xdr:rowOff>0</xdr:rowOff>
    </xdr:from>
    <xdr:ext cx="447675" cy="476250"/>
    <xdr:pic>
      <xdr:nvPicPr>
        <xdr:cNvPr id="0" name="image293.png"/>
        <xdr:cNvPicPr preferRelativeResize="0"/>
      </xdr:nvPicPr>
      <xdr:blipFill>
        <a:blip cstate="print" r:embed="rId286"/>
        <a:stretch>
          <a:fillRect/>
        </a:stretch>
      </xdr:blipFill>
      <xdr:spPr>
        <a:prstGeom prst="rect">
          <a:avLst/>
        </a:prstGeom>
        <a:noFill/>
      </xdr:spPr>
    </xdr:pic>
    <xdr:clientData fLocksWithSheet="0"/>
  </xdr:oneCellAnchor>
  <xdr:oneCellAnchor>
    <xdr:from>
      <xdr:col>1</xdr:col>
      <xdr:colOff>0</xdr:colOff>
      <xdr:row>287</xdr:row>
      <xdr:rowOff>0</xdr:rowOff>
    </xdr:from>
    <xdr:ext cx="485775" cy="371475"/>
    <xdr:pic>
      <xdr:nvPicPr>
        <xdr:cNvPr id="0" name="image271.png"/>
        <xdr:cNvPicPr preferRelativeResize="0"/>
      </xdr:nvPicPr>
      <xdr:blipFill>
        <a:blip cstate="print" r:embed="rId287"/>
        <a:stretch>
          <a:fillRect/>
        </a:stretch>
      </xdr:blipFill>
      <xdr:spPr>
        <a:prstGeom prst="rect">
          <a:avLst/>
        </a:prstGeom>
        <a:noFill/>
      </xdr:spPr>
    </xdr:pic>
    <xdr:clientData fLocksWithSheet="0"/>
  </xdr:oneCellAnchor>
  <xdr:oneCellAnchor>
    <xdr:from>
      <xdr:col>1</xdr:col>
      <xdr:colOff>0</xdr:colOff>
      <xdr:row>288</xdr:row>
      <xdr:rowOff>0</xdr:rowOff>
    </xdr:from>
    <xdr:ext cx="476250" cy="476250"/>
    <xdr:pic>
      <xdr:nvPicPr>
        <xdr:cNvPr id="0" name="image273.png"/>
        <xdr:cNvPicPr preferRelativeResize="0"/>
      </xdr:nvPicPr>
      <xdr:blipFill>
        <a:blip cstate="print" r:embed="rId288"/>
        <a:stretch>
          <a:fillRect/>
        </a:stretch>
      </xdr:blipFill>
      <xdr:spPr>
        <a:prstGeom prst="rect">
          <a:avLst/>
        </a:prstGeom>
        <a:noFill/>
      </xdr:spPr>
    </xdr:pic>
    <xdr:clientData fLocksWithSheet="0"/>
  </xdr:oneCellAnchor>
  <xdr:oneCellAnchor>
    <xdr:from>
      <xdr:col>1</xdr:col>
      <xdr:colOff>0</xdr:colOff>
      <xdr:row>289</xdr:row>
      <xdr:rowOff>0</xdr:rowOff>
    </xdr:from>
    <xdr:ext cx="485775" cy="457200"/>
    <xdr:pic>
      <xdr:nvPicPr>
        <xdr:cNvPr id="0" name="image280.png"/>
        <xdr:cNvPicPr preferRelativeResize="0"/>
      </xdr:nvPicPr>
      <xdr:blipFill>
        <a:blip cstate="print" r:embed="rId289"/>
        <a:stretch>
          <a:fillRect/>
        </a:stretch>
      </xdr:blipFill>
      <xdr:spPr>
        <a:prstGeom prst="rect">
          <a:avLst/>
        </a:prstGeom>
        <a:noFill/>
      </xdr:spPr>
    </xdr:pic>
    <xdr:clientData fLocksWithSheet="0"/>
  </xdr:oneCellAnchor>
  <xdr:oneCellAnchor>
    <xdr:from>
      <xdr:col>1</xdr:col>
      <xdr:colOff>0</xdr:colOff>
      <xdr:row>290</xdr:row>
      <xdr:rowOff>0</xdr:rowOff>
    </xdr:from>
    <xdr:ext cx="352425" cy="476250"/>
    <xdr:pic>
      <xdr:nvPicPr>
        <xdr:cNvPr id="0" name="image289.png"/>
        <xdr:cNvPicPr preferRelativeResize="0"/>
      </xdr:nvPicPr>
      <xdr:blipFill>
        <a:blip cstate="print" r:embed="rId290"/>
        <a:stretch>
          <a:fillRect/>
        </a:stretch>
      </xdr:blipFill>
      <xdr:spPr>
        <a:prstGeom prst="rect">
          <a:avLst/>
        </a:prstGeom>
        <a:noFill/>
      </xdr:spPr>
    </xdr:pic>
    <xdr:clientData fLocksWithSheet="0"/>
  </xdr:oneCellAnchor>
  <xdr:oneCellAnchor>
    <xdr:from>
      <xdr:col>1</xdr:col>
      <xdr:colOff>0</xdr:colOff>
      <xdr:row>291</xdr:row>
      <xdr:rowOff>0</xdr:rowOff>
    </xdr:from>
    <xdr:ext cx="447675" cy="476250"/>
    <xdr:pic>
      <xdr:nvPicPr>
        <xdr:cNvPr id="0" name="image305.png"/>
        <xdr:cNvPicPr preferRelativeResize="0"/>
      </xdr:nvPicPr>
      <xdr:blipFill>
        <a:blip cstate="print" r:embed="rId291"/>
        <a:stretch>
          <a:fillRect/>
        </a:stretch>
      </xdr:blipFill>
      <xdr:spPr>
        <a:prstGeom prst="rect">
          <a:avLst/>
        </a:prstGeom>
        <a:noFill/>
      </xdr:spPr>
    </xdr:pic>
    <xdr:clientData fLocksWithSheet="0"/>
  </xdr:oneCellAnchor>
  <xdr:oneCellAnchor>
    <xdr:from>
      <xdr:col>1</xdr:col>
      <xdr:colOff>0</xdr:colOff>
      <xdr:row>292</xdr:row>
      <xdr:rowOff>0</xdr:rowOff>
    </xdr:from>
    <xdr:ext cx="485775" cy="352425"/>
    <xdr:pic>
      <xdr:nvPicPr>
        <xdr:cNvPr id="0" name="image262.png"/>
        <xdr:cNvPicPr preferRelativeResize="0"/>
      </xdr:nvPicPr>
      <xdr:blipFill>
        <a:blip cstate="print" r:embed="rId292"/>
        <a:stretch>
          <a:fillRect/>
        </a:stretch>
      </xdr:blipFill>
      <xdr:spPr>
        <a:prstGeom prst="rect">
          <a:avLst/>
        </a:prstGeom>
        <a:noFill/>
      </xdr:spPr>
    </xdr:pic>
    <xdr:clientData fLocksWithSheet="0"/>
  </xdr:oneCellAnchor>
  <xdr:oneCellAnchor>
    <xdr:from>
      <xdr:col>1</xdr:col>
      <xdr:colOff>0</xdr:colOff>
      <xdr:row>293</xdr:row>
      <xdr:rowOff>0</xdr:rowOff>
    </xdr:from>
    <xdr:ext cx="381000" cy="476250"/>
    <xdr:pic>
      <xdr:nvPicPr>
        <xdr:cNvPr id="0" name="image270.png"/>
        <xdr:cNvPicPr preferRelativeResize="0"/>
      </xdr:nvPicPr>
      <xdr:blipFill>
        <a:blip cstate="print" r:embed="rId293"/>
        <a:stretch>
          <a:fillRect/>
        </a:stretch>
      </xdr:blipFill>
      <xdr:spPr>
        <a:prstGeom prst="rect">
          <a:avLst/>
        </a:prstGeom>
        <a:noFill/>
      </xdr:spPr>
    </xdr:pic>
    <xdr:clientData fLocksWithSheet="0"/>
  </xdr:oneCellAnchor>
  <xdr:oneCellAnchor>
    <xdr:from>
      <xdr:col>1</xdr:col>
      <xdr:colOff>0</xdr:colOff>
      <xdr:row>294</xdr:row>
      <xdr:rowOff>0</xdr:rowOff>
    </xdr:from>
    <xdr:ext cx="485775" cy="457200"/>
    <xdr:pic>
      <xdr:nvPicPr>
        <xdr:cNvPr id="0" name="image302.png"/>
        <xdr:cNvPicPr preferRelativeResize="0"/>
      </xdr:nvPicPr>
      <xdr:blipFill>
        <a:blip cstate="print" r:embed="rId294"/>
        <a:stretch>
          <a:fillRect/>
        </a:stretch>
      </xdr:blipFill>
      <xdr:spPr>
        <a:prstGeom prst="rect">
          <a:avLst/>
        </a:prstGeom>
        <a:noFill/>
      </xdr:spPr>
    </xdr:pic>
    <xdr:clientData fLocksWithSheet="0"/>
  </xdr:oneCellAnchor>
  <xdr:oneCellAnchor>
    <xdr:from>
      <xdr:col>1</xdr:col>
      <xdr:colOff>0</xdr:colOff>
      <xdr:row>295</xdr:row>
      <xdr:rowOff>0</xdr:rowOff>
    </xdr:from>
    <xdr:ext cx="485775" cy="419100"/>
    <xdr:pic>
      <xdr:nvPicPr>
        <xdr:cNvPr id="0" name="image297.png"/>
        <xdr:cNvPicPr preferRelativeResize="0"/>
      </xdr:nvPicPr>
      <xdr:blipFill>
        <a:blip cstate="print" r:embed="rId295"/>
        <a:stretch>
          <a:fillRect/>
        </a:stretch>
      </xdr:blipFill>
      <xdr:spPr>
        <a:prstGeom prst="rect">
          <a:avLst/>
        </a:prstGeom>
        <a:noFill/>
      </xdr:spPr>
    </xdr:pic>
    <xdr:clientData fLocksWithSheet="0"/>
  </xdr:oneCellAnchor>
  <xdr:oneCellAnchor>
    <xdr:from>
      <xdr:col>1</xdr:col>
      <xdr:colOff>0</xdr:colOff>
      <xdr:row>296</xdr:row>
      <xdr:rowOff>0</xdr:rowOff>
    </xdr:from>
    <xdr:ext cx="352425" cy="476250"/>
    <xdr:pic>
      <xdr:nvPicPr>
        <xdr:cNvPr id="0" name="image277.png"/>
        <xdr:cNvPicPr preferRelativeResize="0"/>
      </xdr:nvPicPr>
      <xdr:blipFill>
        <a:blip cstate="print" r:embed="rId296"/>
        <a:stretch>
          <a:fillRect/>
        </a:stretch>
      </xdr:blipFill>
      <xdr:spPr>
        <a:prstGeom prst="rect">
          <a:avLst/>
        </a:prstGeom>
        <a:noFill/>
      </xdr:spPr>
    </xdr:pic>
    <xdr:clientData fLocksWithSheet="0"/>
  </xdr:oneCellAnchor>
  <xdr:oneCellAnchor>
    <xdr:from>
      <xdr:col>1</xdr:col>
      <xdr:colOff>0</xdr:colOff>
      <xdr:row>297</xdr:row>
      <xdr:rowOff>0</xdr:rowOff>
    </xdr:from>
    <xdr:ext cx="390525" cy="476250"/>
    <xdr:pic>
      <xdr:nvPicPr>
        <xdr:cNvPr id="0" name="image284.png"/>
        <xdr:cNvPicPr preferRelativeResize="0"/>
      </xdr:nvPicPr>
      <xdr:blipFill>
        <a:blip cstate="print" r:embed="rId297"/>
        <a:stretch>
          <a:fillRect/>
        </a:stretch>
      </xdr:blipFill>
      <xdr:spPr>
        <a:prstGeom prst="rect">
          <a:avLst/>
        </a:prstGeom>
        <a:noFill/>
      </xdr:spPr>
    </xdr:pic>
    <xdr:clientData fLocksWithSheet="0"/>
  </xdr:oneCellAnchor>
  <xdr:oneCellAnchor>
    <xdr:from>
      <xdr:col>1</xdr:col>
      <xdr:colOff>0</xdr:colOff>
      <xdr:row>298</xdr:row>
      <xdr:rowOff>0</xdr:rowOff>
    </xdr:from>
    <xdr:ext cx="381000" cy="476250"/>
    <xdr:pic>
      <xdr:nvPicPr>
        <xdr:cNvPr id="0" name="image315.png"/>
        <xdr:cNvPicPr preferRelativeResize="0"/>
      </xdr:nvPicPr>
      <xdr:blipFill>
        <a:blip cstate="print" r:embed="rId298"/>
        <a:stretch>
          <a:fillRect/>
        </a:stretch>
      </xdr:blipFill>
      <xdr:spPr>
        <a:prstGeom prst="rect">
          <a:avLst/>
        </a:prstGeom>
        <a:noFill/>
      </xdr:spPr>
    </xdr:pic>
    <xdr:clientData fLocksWithSheet="0"/>
  </xdr:oneCellAnchor>
  <xdr:oneCellAnchor>
    <xdr:from>
      <xdr:col>1</xdr:col>
      <xdr:colOff>0</xdr:colOff>
      <xdr:row>299</xdr:row>
      <xdr:rowOff>0</xdr:rowOff>
    </xdr:from>
    <xdr:ext cx="485775" cy="466725"/>
    <xdr:pic>
      <xdr:nvPicPr>
        <xdr:cNvPr id="0" name="image369.png"/>
        <xdr:cNvPicPr preferRelativeResize="0"/>
      </xdr:nvPicPr>
      <xdr:blipFill>
        <a:blip cstate="print" r:embed="rId299"/>
        <a:stretch>
          <a:fillRect/>
        </a:stretch>
      </xdr:blipFill>
      <xdr:spPr>
        <a:prstGeom prst="rect">
          <a:avLst/>
        </a:prstGeom>
        <a:noFill/>
      </xdr:spPr>
    </xdr:pic>
    <xdr:clientData fLocksWithSheet="0"/>
  </xdr:oneCellAnchor>
  <xdr:oneCellAnchor>
    <xdr:from>
      <xdr:col>1</xdr:col>
      <xdr:colOff>0</xdr:colOff>
      <xdr:row>300</xdr:row>
      <xdr:rowOff>0</xdr:rowOff>
    </xdr:from>
    <xdr:ext cx="485775" cy="390525"/>
    <xdr:pic>
      <xdr:nvPicPr>
        <xdr:cNvPr id="0" name="image287.png"/>
        <xdr:cNvPicPr preferRelativeResize="0"/>
      </xdr:nvPicPr>
      <xdr:blipFill>
        <a:blip cstate="print" r:embed="rId300"/>
        <a:stretch>
          <a:fillRect/>
        </a:stretch>
      </xdr:blipFill>
      <xdr:spPr>
        <a:prstGeom prst="rect">
          <a:avLst/>
        </a:prstGeom>
        <a:noFill/>
      </xdr:spPr>
    </xdr:pic>
    <xdr:clientData fLocksWithSheet="0"/>
  </xdr:oneCellAnchor>
  <xdr:oneCellAnchor>
    <xdr:from>
      <xdr:col>1</xdr:col>
      <xdr:colOff>0</xdr:colOff>
      <xdr:row>301</xdr:row>
      <xdr:rowOff>0</xdr:rowOff>
    </xdr:from>
    <xdr:ext cx="485775" cy="400050"/>
    <xdr:pic>
      <xdr:nvPicPr>
        <xdr:cNvPr id="0" name="image283.png"/>
        <xdr:cNvPicPr preferRelativeResize="0"/>
      </xdr:nvPicPr>
      <xdr:blipFill>
        <a:blip cstate="print" r:embed="rId301"/>
        <a:stretch>
          <a:fillRect/>
        </a:stretch>
      </xdr:blipFill>
      <xdr:spPr>
        <a:prstGeom prst="rect">
          <a:avLst/>
        </a:prstGeom>
        <a:noFill/>
      </xdr:spPr>
    </xdr:pic>
    <xdr:clientData fLocksWithSheet="0"/>
  </xdr:oneCellAnchor>
  <xdr:oneCellAnchor>
    <xdr:from>
      <xdr:col>1</xdr:col>
      <xdr:colOff>0</xdr:colOff>
      <xdr:row>302</xdr:row>
      <xdr:rowOff>0</xdr:rowOff>
    </xdr:from>
    <xdr:ext cx="400050" cy="476250"/>
    <xdr:pic>
      <xdr:nvPicPr>
        <xdr:cNvPr id="0" name="image336.png"/>
        <xdr:cNvPicPr preferRelativeResize="0"/>
      </xdr:nvPicPr>
      <xdr:blipFill>
        <a:blip cstate="print" r:embed="rId302"/>
        <a:stretch>
          <a:fillRect/>
        </a:stretch>
      </xdr:blipFill>
      <xdr:spPr>
        <a:prstGeom prst="rect">
          <a:avLst/>
        </a:prstGeom>
        <a:noFill/>
      </xdr:spPr>
    </xdr:pic>
    <xdr:clientData fLocksWithSheet="0"/>
  </xdr:oneCellAnchor>
  <xdr:oneCellAnchor>
    <xdr:from>
      <xdr:col>1</xdr:col>
      <xdr:colOff>0</xdr:colOff>
      <xdr:row>303</xdr:row>
      <xdr:rowOff>0</xdr:rowOff>
    </xdr:from>
    <xdr:ext cx="323850" cy="476250"/>
    <xdr:pic>
      <xdr:nvPicPr>
        <xdr:cNvPr id="0" name="image295.png"/>
        <xdr:cNvPicPr preferRelativeResize="0"/>
      </xdr:nvPicPr>
      <xdr:blipFill>
        <a:blip cstate="print" r:embed="rId303"/>
        <a:stretch>
          <a:fillRect/>
        </a:stretch>
      </xdr:blipFill>
      <xdr:spPr>
        <a:prstGeom prst="rect">
          <a:avLst/>
        </a:prstGeom>
        <a:noFill/>
      </xdr:spPr>
    </xdr:pic>
    <xdr:clientData fLocksWithSheet="0"/>
  </xdr:oneCellAnchor>
  <xdr:oneCellAnchor>
    <xdr:from>
      <xdr:col>1</xdr:col>
      <xdr:colOff>0</xdr:colOff>
      <xdr:row>304</xdr:row>
      <xdr:rowOff>0</xdr:rowOff>
    </xdr:from>
    <xdr:ext cx="485775" cy="409575"/>
    <xdr:pic>
      <xdr:nvPicPr>
        <xdr:cNvPr id="0" name="image294.png"/>
        <xdr:cNvPicPr preferRelativeResize="0"/>
      </xdr:nvPicPr>
      <xdr:blipFill>
        <a:blip cstate="print" r:embed="rId304"/>
        <a:stretch>
          <a:fillRect/>
        </a:stretch>
      </xdr:blipFill>
      <xdr:spPr>
        <a:prstGeom prst="rect">
          <a:avLst/>
        </a:prstGeom>
        <a:noFill/>
      </xdr:spPr>
    </xdr:pic>
    <xdr:clientData fLocksWithSheet="0"/>
  </xdr:oneCellAnchor>
  <xdr:oneCellAnchor>
    <xdr:from>
      <xdr:col>1</xdr:col>
      <xdr:colOff>0</xdr:colOff>
      <xdr:row>305</xdr:row>
      <xdr:rowOff>0</xdr:rowOff>
    </xdr:from>
    <xdr:ext cx="485775" cy="438150"/>
    <xdr:pic>
      <xdr:nvPicPr>
        <xdr:cNvPr id="0" name="image319.png"/>
        <xdr:cNvPicPr preferRelativeResize="0"/>
      </xdr:nvPicPr>
      <xdr:blipFill>
        <a:blip cstate="print" r:embed="rId305"/>
        <a:stretch>
          <a:fillRect/>
        </a:stretch>
      </xdr:blipFill>
      <xdr:spPr>
        <a:prstGeom prst="rect">
          <a:avLst/>
        </a:prstGeom>
        <a:noFill/>
      </xdr:spPr>
    </xdr:pic>
    <xdr:clientData fLocksWithSheet="0"/>
  </xdr:oneCellAnchor>
  <xdr:oneCellAnchor>
    <xdr:from>
      <xdr:col>1</xdr:col>
      <xdr:colOff>0</xdr:colOff>
      <xdr:row>306</xdr:row>
      <xdr:rowOff>0</xdr:rowOff>
    </xdr:from>
    <xdr:ext cx="447675" cy="476250"/>
    <xdr:pic>
      <xdr:nvPicPr>
        <xdr:cNvPr id="0" name="image309.png"/>
        <xdr:cNvPicPr preferRelativeResize="0"/>
      </xdr:nvPicPr>
      <xdr:blipFill>
        <a:blip cstate="print" r:embed="rId306"/>
        <a:stretch>
          <a:fillRect/>
        </a:stretch>
      </xdr:blipFill>
      <xdr:spPr>
        <a:prstGeom prst="rect">
          <a:avLst/>
        </a:prstGeom>
        <a:noFill/>
      </xdr:spPr>
    </xdr:pic>
    <xdr:clientData fLocksWithSheet="0"/>
  </xdr:oneCellAnchor>
  <xdr:oneCellAnchor>
    <xdr:from>
      <xdr:col>1</xdr:col>
      <xdr:colOff>0</xdr:colOff>
      <xdr:row>307</xdr:row>
      <xdr:rowOff>0</xdr:rowOff>
    </xdr:from>
    <xdr:ext cx="457200" cy="476250"/>
    <xdr:pic>
      <xdr:nvPicPr>
        <xdr:cNvPr id="0" name="image348.png"/>
        <xdr:cNvPicPr preferRelativeResize="0"/>
      </xdr:nvPicPr>
      <xdr:blipFill>
        <a:blip cstate="print" r:embed="rId307"/>
        <a:stretch>
          <a:fillRect/>
        </a:stretch>
      </xdr:blipFill>
      <xdr:spPr>
        <a:prstGeom prst="rect">
          <a:avLst/>
        </a:prstGeom>
        <a:noFill/>
      </xdr:spPr>
    </xdr:pic>
    <xdr:clientData fLocksWithSheet="0"/>
  </xdr:oneCellAnchor>
  <xdr:oneCellAnchor>
    <xdr:from>
      <xdr:col>1</xdr:col>
      <xdr:colOff>0</xdr:colOff>
      <xdr:row>308</xdr:row>
      <xdr:rowOff>0</xdr:rowOff>
    </xdr:from>
    <xdr:ext cx="485775" cy="419100"/>
    <xdr:pic>
      <xdr:nvPicPr>
        <xdr:cNvPr id="0" name="image345.png"/>
        <xdr:cNvPicPr preferRelativeResize="0"/>
      </xdr:nvPicPr>
      <xdr:blipFill>
        <a:blip cstate="print" r:embed="rId308"/>
        <a:stretch>
          <a:fillRect/>
        </a:stretch>
      </xdr:blipFill>
      <xdr:spPr>
        <a:prstGeom prst="rect">
          <a:avLst/>
        </a:prstGeom>
        <a:noFill/>
      </xdr:spPr>
    </xdr:pic>
    <xdr:clientData fLocksWithSheet="0"/>
  </xdr:oneCellAnchor>
  <xdr:oneCellAnchor>
    <xdr:from>
      <xdr:col>1</xdr:col>
      <xdr:colOff>0</xdr:colOff>
      <xdr:row>309</xdr:row>
      <xdr:rowOff>0</xdr:rowOff>
    </xdr:from>
    <xdr:ext cx="371475" cy="476250"/>
    <xdr:pic>
      <xdr:nvPicPr>
        <xdr:cNvPr id="0" name="image335.png"/>
        <xdr:cNvPicPr preferRelativeResize="0"/>
      </xdr:nvPicPr>
      <xdr:blipFill>
        <a:blip cstate="print" r:embed="rId309"/>
        <a:stretch>
          <a:fillRect/>
        </a:stretch>
      </xdr:blipFill>
      <xdr:spPr>
        <a:prstGeom prst="rect">
          <a:avLst/>
        </a:prstGeom>
        <a:noFill/>
      </xdr:spPr>
    </xdr:pic>
    <xdr:clientData fLocksWithSheet="0"/>
  </xdr:oneCellAnchor>
  <xdr:oneCellAnchor>
    <xdr:from>
      <xdr:col>1</xdr:col>
      <xdr:colOff>0</xdr:colOff>
      <xdr:row>310</xdr:row>
      <xdr:rowOff>0</xdr:rowOff>
    </xdr:from>
    <xdr:ext cx="485775" cy="438150"/>
    <xdr:pic>
      <xdr:nvPicPr>
        <xdr:cNvPr id="0" name="image307.png"/>
        <xdr:cNvPicPr preferRelativeResize="0"/>
      </xdr:nvPicPr>
      <xdr:blipFill>
        <a:blip cstate="print" r:embed="rId310"/>
        <a:stretch>
          <a:fillRect/>
        </a:stretch>
      </xdr:blipFill>
      <xdr:spPr>
        <a:prstGeom prst="rect">
          <a:avLst/>
        </a:prstGeom>
        <a:noFill/>
      </xdr:spPr>
    </xdr:pic>
    <xdr:clientData fLocksWithSheet="0"/>
  </xdr:oneCellAnchor>
  <xdr:oneCellAnchor>
    <xdr:from>
      <xdr:col>1</xdr:col>
      <xdr:colOff>0</xdr:colOff>
      <xdr:row>311</xdr:row>
      <xdr:rowOff>0</xdr:rowOff>
    </xdr:from>
    <xdr:ext cx="485775" cy="390525"/>
    <xdr:pic>
      <xdr:nvPicPr>
        <xdr:cNvPr id="0" name="image320.png"/>
        <xdr:cNvPicPr preferRelativeResize="0"/>
      </xdr:nvPicPr>
      <xdr:blipFill>
        <a:blip cstate="print" r:embed="rId311"/>
        <a:stretch>
          <a:fillRect/>
        </a:stretch>
      </xdr:blipFill>
      <xdr:spPr>
        <a:prstGeom prst="rect">
          <a:avLst/>
        </a:prstGeom>
        <a:noFill/>
      </xdr:spPr>
    </xdr:pic>
    <xdr:clientData fLocksWithSheet="0"/>
  </xdr:oneCellAnchor>
  <xdr:oneCellAnchor>
    <xdr:from>
      <xdr:col>1</xdr:col>
      <xdr:colOff>0</xdr:colOff>
      <xdr:row>312</xdr:row>
      <xdr:rowOff>0</xdr:rowOff>
    </xdr:from>
    <xdr:ext cx="476250" cy="476250"/>
    <xdr:pic>
      <xdr:nvPicPr>
        <xdr:cNvPr id="0" name="image312.png"/>
        <xdr:cNvPicPr preferRelativeResize="0"/>
      </xdr:nvPicPr>
      <xdr:blipFill>
        <a:blip cstate="print" r:embed="rId312"/>
        <a:stretch>
          <a:fillRect/>
        </a:stretch>
      </xdr:blipFill>
      <xdr:spPr>
        <a:prstGeom prst="rect">
          <a:avLst/>
        </a:prstGeom>
        <a:noFill/>
      </xdr:spPr>
    </xdr:pic>
    <xdr:clientData fLocksWithSheet="0"/>
  </xdr:oneCellAnchor>
  <xdr:oneCellAnchor>
    <xdr:from>
      <xdr:col>1</xdr:col>
      <xdr:colOff>0</xdr:colOff>
      <xdr:row>313</xdr:row>
      <xdr:rowOff>0</xdr:rowOff>
    </xdr:from>
    <xdr:ext cx="476250" cy="476250"/>
    <xdr:pic>
      <xdr:nvPicPr>
        <xdr:cNvPr id="0" name="image303.png"/>
        <xdr:cNvPicPr preferRelativeResize="0"/>
      </xdr:nvPicPr>
      <xdr:blipFill>
        <a:blip cstate="print" r:embed="rId313"/>
        <a:stretch>
          <a:fillRect/>
        </a:stretch>
      </xdr:blipFill>
      <xdr:spPr>
        <a:prstGeom prst="rect">
          <a:avLst/>
        </a:prstGeom>
        <a:noFill/>
      </xdr:spPr>
    </xdr:pic>
    <xdr:clientData fLocksWithSheet="0"/>
  </xdr:oneCellAnchor>
  <xdr:oneCellAnchor>
    <xdr:from>
      <xdr:col>1</xdr:col>
      <xdr:colOff>0</xdr:colOff>
      <xdr:row>314</xdr:row>
      <xdr:rowOff>0</xdr:rowOff>
    </xdr:from>
    <xdr:ext cx="485775" cy="428625"/>
    <xdr:pic>
      <xdr:nvPicPr>
        <xdr:cNvPr id="0" name="image344.png"/>
        <xdr:cNvPicPr preferRelativeResize="0"/>
      </xdr:nvPicPr>
      <xdr:blipFill>
        <a:blip cstate="print" r:embed="rId314"/>
        <a:stretch>
          <a:fillRect/>
        </a:stretch>
      </xdr:blipFill>
      <xdr:spPr>
        <a:prstGeom prst="rect">
          <a:avLst/>
        </a:prstGeom>
        <a:noFill/>
      </xdr:spPr>
    </xdr:pic>
    <xdr:clientData fLocksWithSheet="0"/>
  </xdr:oneCellAnchor>
  <xdr:oneCellAnchor>
    <xdr:from>
      <xdr:col>1</xdr:col>
      <xdr:colOff>0</xdr:colOff>
      <xdr:row>315</xdr:row>
      <xdr:rowOff>0</xdr:rowOff>
    </xdr:from>
    <xdr:ext cx="371475" cy="476250"/>
    <xdr:pic>
      <xdr:nvPicPr>
        <xdr:cNvPr id="0" name="image357.png"/>
        <xdr:cNvPicPr preferRelativeResize="0"/>
      </xdr:nvPicPr>
      <xdr:blipFill>
        <a:blip cstate="print" r:embed="rId315"/>
        <a:stretch>
          <a:fillRect/>
        </a:stretch>
      </xdr:blipFill>
      <xdr:spPr>
        <a:prstGeom prst="rect">
          <a:avLst/>
        </a:prstGeom>
        <a:noFill/>
      </xdr:spPr>
    </xdr:pic>
    <xdr:clientData fLocksWithSheet="0"/>
  </xdr:oneCellAnchor>
  <xdr:oneCellAnchor>
    <xdr:from>
      <xdr:col>1</xdr:col>
      <xdr:colOff>0</xdr:colOff>
      <xdr:row>316</xdr:row>
      <xdr:rowOff>0</xdr:rowOff>
    </xdr:from>
    <xdr:ext cx="485775" cy="438150"/>
    <xdr:pic>
      <xdr:nvPicPr>
        <xdr:cNvPr id="0" name="image301.png"/>
        <xdr:cNvPicPr preferRelativeResize="0"/>
      </xdr:nvPicPr>
      <xdr:blipFill>
        <a:blip cstate="print" r:embed="rId316"/>
        <a:stretch>
          <a:fillRect/>
        </a:stretch>
      </xdr:blipFill>
      <xdr:spPr>
        <a:prstGeom prst="rect">
          <a:avLst/>
        </a:prstGeom>
        <a:noFill/>
      </xdr:spPr>
    </xdr:pic>
    <xdr:clientData fLocksWithSheet="0"/>
  </xdr:oneCellAnchor>
  <xdr:oneCellAnchor>
    <xdr:from>
      <xdr:col>1</xdr:col>
      <xdr:colOff>0</xdr:colOff>
      <xdr:row>317</xdr:row>
      <xdr:rowOff>0</xdr:rowOff>
    </xdr:from>
    <xdr:ext cx="485775" cy="457200"/>
    <xdr:pic>
      <xdr:nvPicPr>
        <xdr:cNvPr id="0" name="image316.png"/>
        <xdr:cNvPicPr preferRelativeResize="0"/>
      </xdr:nvPicPr>
      <xdr:blipFill>
        <a:blip cstate="print" r:embed="rId317"/>
        <a:stretch>
          <a:fillRect/>
        </a:stretch>
      </xdr:blipFill>
      <xdr:spPr>
        <a:prstGeom prst="rect">
          <a:avLst/>
        </a:prstGeom>
        <a:noFill/>
      </xdr:spPr>
    </xdr:pic>
    <xdr:clientData fLocksWithSheet="0"/>
  </xdr:oneCellAnchor>
  <xdr:oneCellAnchor>
    <xdr:from>
      <xdr:col>1</xdr:col>
      <xdr:colOff>0</xdr:colOff>
      <xdr:row>318</xdr:row>
      <xdr:rowOff>0</xdr:rowOff>
    </xdr:from>
    <xdr:ext cx="457200" cy="476250"/>
    <xdr:pic>
      <xdr:nvPicPr>
        <xdr:cNvPr id="0" name="image296.png"/>
        <xdr:cNvPicPr preferRelativeResize="0"/>
      </xdr:nvPicPr>
      <xdr:blipFill>
        <a:blip cstate="print" r:embed="rId318"/>
        <a:stretch>
          <a:fillRect/>
        </a:stretch>
      </xdr:blipFill>
      <xdr:spPr>
        <a:prstGeom prst="rect">
          <a:avLst/>
        </a:prstGeom>
        <a:noFill/>
      </xdr:spPr>
    </xdr:pic>
    <xdr:clientData fLocksWithSheet="0"/>
  </xdr:oneCellAnchor>
  <xdr:oneCellAnchor>
    <xdr:from>
      <xdr:col>1</xdr:col>
      <xdr:colOff>0</xdr:colOff>
      <xdr:row>319</xdr:row>
      <xdr:rowOff>0</xdr:rowOff>
    </xdr:from>
    <xdr:ext cx="295275" cy="476250"/>
    <xdr:pic>
      <xdr:nvPicPr>
        <xdr:cNvPr id="0" name="image300.png"/>
        <xdr:cNvPicPr preferRelativeResize="0"/>
      </xdr:nvPicPr>
      <xdr:blipFill>
        <a:blip cstate="print" r:embed="rId319"/>
        <a:stretch>
          <a:fillRect/>
        </a:stretch>
      </xdr:blipFill>
      <xdr:spPr>
        <a:prstGeom prst="rect">
          <a:avLst/>
        </a:prstGeom>
        <a:noFill/>
      </xdr:spPr>
    </xdr:pic>
    <xdr:clientData fLocksWithSheet="0"/>
  </xdr:oneCellAnchor>
  <xdr:oneCellAnchor>
    <xdr:from>
      <xdr:col>1</xdr:col>
      <xdr:colOff>0</xdr:colOff>
      <xdr:row>320</xdr:row>
      <xdr:rowOff>0</xdr:rowOff>
    </xdr:from>
    <xdr:ext cx="485775" cy="457200"/>
    <xdr:pic>
      <xdr:nvPicPr>
        <xdr:cNvPr id="0" name="image338.png"/>
        <xdr:cNvPicPr preferRelativeResize="0"/>
      </xdr:nvPicPr>
      <xdr:blipFill>
        <a:blip cstate="print" r:embed="rId320"/>
        <a:stretch>
          <a:fillRect/>
        </a:stretch>
      </xdr:blipFill>
      <xdr:spPr>
        <a:prstGeom prst="rect">
          <a:avLst/>
        </a:prstGeom>
        <a:noFill/>
      </xdr:spPr>
    </xdr:pic>
    <xdr:clientData fLocksWithSheet="0"/>
  </xdr:oneCellAnchor>
  <xdr:oneCellAnchor>
    <xdr:from>
      <xdr:col>1</xdr:col>
      <xdr:colOff>0</xdr:colOff>
      <xdr:row>321</xdr:row>
      <xdr:rowOff>0</xdr:rowOff>
    </xdr:from>
    <xdr:ext cx="476250" cy="476250"/>
    <xdr:pic>
      <xdr:nvPicPr>
        <xdr:cNvPr id="0" name="image322.png"/>
        <xdr:cNvPicPr preferRelativeResize="0"/>
      </xdr:nvPicPr>
      <xdr:blipFill>
        <a:blip cstate="print" r:embed="rId321"/>
        <a:stretch>
          <a:fillRect/>
        </a:stretch>
      </xdr:blipFill>
      <xdr:spPr>
        <a:prstGeom prst="rect">
          <a:avLst/>
        </a:prstGeom>
        <a:noFill/>
      </xdr:spPr>
    </xdr:pic>
    <xdr:clientData fLocksWithSheet="0"/>
  </xdr:oneCellAnchor>
  <xdr:oneCellAnchor>
    <xdr:from>
      <xdr:col>1</xdr:col>
      <xdr:colOff>0</xdr:colOff>
      <xdr:row>322</xdr:row>
      <xdr:rowOff>0</xdr:rowOff>
    </xdr:from>
    <xdr:ext cx="485775" cy="447675"/>
    <xdr:pic>
      <xdr:nvPicPr>
        <xdr:cNvPr id="0" name="image324.png"/>
        <xdr:cNvPicPr preferRelativeResize="0"/>
      </xdr:nvPicPr>
      <xdr:blipFill>
        <a:blip cstate="print" r:embed="rId322"/>
        <a:stretch>
          <a:fillRect/>
        </a:stretch>
      </xdr:blipFill>
      <xdr:spPr>
        <a:prstGeom prst="rect">
          <a:avLst/>
        </a:prstGeom>
        <a:noFill/>
      </xdr:spPr>
    </xdr:pic>
    <xdr:clientData fLocksWithSheet="0"/>
  </xdr:oneCellAnchor>
  <xdr:oneCellAnchor>
    <xdr:from>
      <xdr:col>1</xdr:col>
      <xdr:colOff>0</xdr:colOff>
      <xdr:row>323</xdr:row>
      <xdr:rowOff>0</xdr:rowOff>
    </xdr:from>
    <xdr:ext cx="485775" cy="314325"/>
    <xdr:pic>
      <xdr:nvPicPr>
        <xdr:cNvPr id="0" name="image325.png"/>
        <xdr:cNvPicPr preferRelativeResize="0"/>
      </xdr:nvPicPr>
      <xdr:blipFill>
        <a:blip cstate="print" r:embed="rId323"/>
        <a:stretch>
          <a:fillRect/>
        </a:stretch>
      </xdr:blipFill>
      <xdr:spPr>
        <a:prstGeom prst="rect">
          <a:avLst/>
        </a:prstGeom>
        <a:noFill/>
      </xdr:spPr>
    </xdr:pic>
    <xdr:clientData fLocksWithSheet="0"/>
  </xdr:oneCellAnchor>
  <xdr:oneCellAnchor>
    <xdr:from>
      <xdr:col>1</xdr:col>
      <xdr:colOff>0</xdr:colOff>
      <xdr:row>324</xdr:row>
      <xdr:rowOff>0</xdr:rowOff>
    </xdr:from>
    <xdr:ext cx="485775" cy="428625"/>
    <xdr:pic>
      <xdr:nvPicPr>
        <xdr:cNvPr id="0" name="image313.png"/>
        <xdr:cNvPicPr preferRelativeResize="0"/>
      </xdr:nvPicPr>
      <xdr:blipFill>
        <a:blip cstate="print" r:embed="rId324"/>
        <a:stretch>
          <a:fillRect/>
        </a:stretch>
      </xdr:blipFill>
      <xdr:spPr>
        <a:prstGeom prst="rect">
          <a:avLst/>
        </a:prstGeom>
        <a:noFill/>
      </xdr:spPr>
    </xdr:pic>
    <xdr:clientData fLocksWithSheet="0"/>
  </xdr:oneCellAnchor>
  <xdr:oneCellAnchor>
    <xdr:from>
      <xdr:col>1</xdr:col>
      <xdr:colOff>0</xdr:colOff>
      <xdr:row>325</xdr:row>
      <xdr:rowOff>0</xdr:rowOff>
    </xdr:from>
    <xdr:ext cx="361950" cy="476250"/>
    <xdr:pic>
      <xdr:nvPicPr>
        <xdr:cNvPr id="0" name="image321.png"/>
        <xdr:cNvPicPr preferRelativeResize="0"/>
      </xdr:nvPicPr>
      <xdr:blipFill>
        <a:blip cstate="print" r:embed="rId325"/>
        <a:stretch>
          <a:fillRect/>
        </a:stretch>
      </xdr:blipFill>
      <xdr:spPr>
        <a:prstGeom prst="rect">
          <a:avLst/>
        </a:prstGeom>
        <a:noFill/>
      </xdr:spPr>
    </xdr:pic>
    <xdr:clientData fLocksWithSheet="0"/>
  </xdr:oneCellAnchor>
  <xdr:oneCellAnchor>
    <xdr:from>
      <xdr:col>1</xdr:col>
      <xdr:colOff>0</xdr:colOff>
      <xdr:row>326</xdr:row>
      <xdr:rowOff>0</xdr:rowOff>
    </xdr:from>
    <xdr:ext cx="409575" cy="476250"/>
    <xdr:pic>
      <xdr:nvPicPr>
        <xdr:cNvPr id="0" name="image304.png"/>
        <xdr:cNvPicPr preferRelativeResize="0"/>
      </xdr:nvPicPr>
      <xdr:blipFill>
        <a:blip cstate="print" r:embed="rId326"/>
        <a:stretch>
          <a:fillRect/>
        </a:stretch>
      </xdr:blipFill>
      <xdr:spPr>
        <a:prstGeom prst="rect">
          <a:avLst/>
        </a:prstGeom>
        <a:noFill/>
      </xdr:spPr>
    </xdr:pic>
    <xdr:clientData fLocksWithSheet="0"/>
  </xdr:oneCellAnchor>
  <xdr:oneCellAnchor>
    <xdr:from>
      <xdr:col>1</xdr:col>
      <xdr:colOff>0</xdr:colOff>
      <xdr:row>327</xdr:row>
      <xdr:rowOff>0</xdr:rowOff>
    </xdr:from>
    <xdr:ext cx="485775" cy="352425"/>
    <xdr:pic>
      <xdr:nvPicPr>
        <xdr:cNvPr id="0" name="image333.png"/>
        <xdr:cNvPicPr preferRelativeResize="0"/>
      </xdr:nvPicPr>
      <xdr:blipFill>
        <a:blip cstate="print" r:embed="rId327"/>
        <a:stretch>
          <a:fillRect/>
        </a:stretch>
      </xdr:blipFill>
      <xdr:spPr>
        <a:prstGeom prst="rect">
          <a:avLst/>
        </a:prstGeom>
        <a:noFill/>
      </xdr:spPr>
    </xdr:pic>
    <xdr:clientData fLocksWithSheet="0"/>
  </xdr:oneCellAnchor>
  <xdr:oneCellAnchor>
    <xdr:from>
      <xdr:col>1</xdr:col>
      <xdr:colOff>0</xdr:colOff>
      <xdr:row>328</xdr:row>
      <xdr:rowOff>0</xdr:rowOff>
    </xdr:from>
    <xdr:ext cx="390525" cy="476250"/>
    <xdr:pic>
      <xdr:nvPicPr>
        <xdr:cNvPr id="0" name="image328.png"/>
        <xdr:cNvPicPr preferRelativeResize="0"/>
      </xdr:nvPicPr>
      <xdr:blipFill>
        <a:blip cstate="print" r:embed="rId328"/>
        <a:stretch>
          <a:fillRect/>
        </a:stretch>
      </xdr:blipFill>
      <xdr:spPr>
        <a:prstGeom prst="rect">
          <a:avLst/>
        </a:prstGeom>
        <a:noFill/>
      </xdr:spPr>
    </xdr:pic>
    <xdr:clientData fLocksWithSheet="0"/>
  </xdr:oneCellAnchor>
  <xdr:oneCellAnchor>
    <xdr:from>
      <xdr:col>1</xdr:col>
      <xdr:colOff>0</xdr:colOff>
      <xdr:row>329</xdr:row>
      <xdr:rowOff>0</xdr:rowOff>
    </xdr:from>
    <xdr:ext cx="476250" cy="457200"/>
    <xdr:pic>
      <xdr:nvPicPr>
        <xdr:cNvPr id="0" name="image327.png"/>
        <xdr:cNvPicPr preferRelativeResize="0"/>
      </xdr:nvPicPr>
      <xdr:blipFill>
        <a:blip cstate="print" r:embed="rId329"/>
        <a:stretch>
          <a:fillRect/>
        </a:stretch>
      </xdr:blipFill>
      <xdr:spPr>
        <a:prstGeom prst="rect">
          <a:avLst/>
        </a:prstGeom>
        <a:noFill/>
      </xdr:spPr>
    </xdr:pic>
    <xdr:clientData fLocksWithSheet="0"/>
  </xdr:oneCellAnchor>
  <xdr:oneCellAnchor>
    <xdr:from>
      <xdr:col>1</xdr:col>
      <xdr:colOff>0</xdr:colOff>
      <xdr:row>330</xdr:row>
      <xdr:rowOff>0</xdr:rowOff>
    </xdr:from>
    <xdr:ext cx="485775" cy="457200"/>
    <xdr:pic>
      <xdr:nvPicPr>
        <xdr:cNvPr id="0" name="image298.png"/>
        <xdr:cNvPicPr preferRelativeResize="0"/>
      </xdr:nvPicPr>
      <xdr:blipFill>
        <a:blip cstate="print" r:embed="rId330"/>
        <a:stretch>
          <a:fillRect/>
        </a:stretch>
      </xdr:blipFill>
      <xdr:spPr>
        <a:prstGeom prst="rect">
          <a:avLst/>
        </a:prstGeom>
        <a:noFill/>
      </xdr:spPr>
    </xdr:pic>
    <xdr:clientData fLocksWithSheet="0"/>
  </xdr:oneCellAnchor>
  <xdr:oneCellAnchor>
    <xdr:from>
      <xdr:col>1</xdr:col>
      <xdr:colOff>0</xdr:colOff>
      <xdr:row>331</xdr:row>
      <xdr:rowOff>0</xdr:rowOff>
    </xdr:from>
    <xdr:ext cx="485775" cy="333375"/>
    <xdr:pic>
      <xdr:nvPicPr>
        <xdr:cNvPr id="0" name="image308.png"/>
        <xdr:cNvPicPr preferRelativeResize="0"/>
      </xdr:nvPicPr>
      <xdr:blipFill>
        <a:blip cstate="print" r:embed="rId331"/>
        <a:stretch>
          <a:fillRect/>
        </a:stretch>
      </xdr:blipFill>
      <xdr:spPr>
        <a:prstGeom prst="rect">
          <a:avLst/>
        </a:prstGeom>
        <a:noFill/>
      </xdr:spPr>
    </xdr:pic>
    <xdr:clientData fLocksWithSheet="0"/>
  </xdr:oneCellAnchor>
  <xdr:oneCellAnchor>
    <xdr:from>
      <xdr:col>1</xdr:col>
      <xdr:colOff>0</xdr:colOff>
      <xdr:row>332</xdr:row>
      <xdr:rowOff>0</xdr:rowOff>
    </xdr:from>
    <xdr:ext cx="485775" cy="371475"/>
    <xdr:pic>
      <xdr:nvPicPr>
        <xdr:cNvPr id="0" name="image317.png"/>
        <xdr:cNvPicPr preferRelativeResize="0"/>
      </xdr:nvPicPr>
      <xdr:blipFill>
        <a:blip cstate="print" r:embed="rId332"/>
        <a:stretch>
          <a:fillRect/>
        </a:stretch>
      </xdr:blipFill>
      <xdr:spPr>
        <a:prstGeom prst="rect">
          <a:avLst/>
        </a:prstGeom>
        <a:noFill/>
      </xdr:spPr>
    </xdr:pic>
    <xdr:clientData fLocksWithSheet="0"/>
  </xdr:oneCellAnchor>
  <xdr:oneCellAnchor>
    <xdr:from>
      <xdr:col>1</xdr:col>
      <xdr:colOff>0</xdr:colOff>
      <xdr:row>333</xdr:row>
      <xdr:rowOff>0</xdr:rowOff>
    </xdr:from>
    <xdr:ext cx="419100" cy="476250"/>
    <xdr:pic>
      <xdr:nvPicPr>
        <xdr:cNvPr id="0" name="image365.png"/>
        <xdr:cNvPicPr preferRelativeResize="0"/>
      </xdr:nvPicPr>
      <xdr:blipFill>
        <a:blip cstate="print" r:embed="rId333"/>
        <a:stretch>
          <a:fillRect/>
        </a:stretch>
      </xdr:blipFill>
      <xdr:spPr>
        <a:prstGeom prst="rect">
          <a:avLst/>
        </a:prstGeom>
        <a:noFill/>
      </xdr:spPr>
    </xdr:pic>
    <xdr:clientData fLocksWithSheet="0"/>
  </xdr:oneCellAnchor>
  <xdr:oneCellAnchor>
    <xdr:from>
      <xdr:col>1</xdr:col>
      <xdr:colOff>0</xdr:colOff>
      <xdr:row>334</xdr:row>
      <xdr:rowOff>0</xdr:rowOff>
    </xdr:from>
    <xdr:ext cx="485775" cy="352425"/>
    <xdr:pic>
      <xdr:nvPicPr>
        <xdr:cNvPr id="0" name="image318.png"/>
        <xdr:cNvPicPr preferRelativeResize="0"/>
      </xdr:nvPicPr>
      <xdr:blipFill>
        <a:blip cstate="print" r:embed="rId334"/>
        <a:stretch>
          <a:fillRect/>
        </a:stretch>
      </xdr:blipFill>
      <xdr:spPr>
        <a:prstGeom prst="rect">
          <a:avLst/>
        </a:prstGeom>
        <a:noFill/>
      </xdr:spPr>
    </xdr:pic>
    <xdr:clientData fLocksWithSheet="0"/>
  </xdr:oneCellAnchor>
  <xdr:oneCellAnchor>
    <xdr:from>
      <xdr:col>1</xdr:col>
      <xdr:colOff>0</xdr:colOff>
      <xdr:row>335</xdr:row>
      <xdr:rowOff>0</xdr:rowOff>
    </xdr:from>
    <xdr:ext cx="485775" cy="419100"/>
    <xdr:pic>
      <xdr:nvPicPr>
        <xdr:cNvPr id="0" name="image346.png"/>
        <xdr:cNvPicPr preferRelativeResize="0"/>
      </xdr:nvPicPr>
      <xdr:blipFill>
        <a:blip cstate="print" r:embed="rId335"/>
        <a:stretch>
          <a:fillRect/>
        </a:stretch>
      </xdr:blipFill>
      <xdr:spPr>
        <a:prstGeom prst="rect">
          <a:avLst/>
        </a:prstGeom>
        <a:noFill/>
      </xdr:spPr>
    </xdr:pic>
    <xdr:clientData fLocksWithSheet="0"/>
  </xdr:oneCellAnchor>
  <xdr:oneCellAnchor>
    <xdr:from>
      <xdr:col>1</xdr:col>
      <xdr:colOff>0</xdr:colOff>
      <xdr:row>336</xdr:row>
      <xdr:rowOff>0</xdr:rowOff>
    </xdr:from>
    <xdr:ext cx="476250" cy="476250"/>
    <xdr:pic>
      <xdr:nvPicPr>
        <xdr:cNvPr id="0" name="image352.png"/>
        <xdr:cNvPicPr preferRelativeResize="0"/>
      </xdr:nvPicPr>
      <xdr:blipFill>
        <a:blip cstate="print" r:embed="rId336"/>
        <a:stretch>
          <a:fillRect/>
        </a:stretch>
      </xdr:blipFill>
      <xdr:spPr>
        <a:prstGeom prst="rect">
          <a:avLst/>
        </a:prstGeom>
        <a:noFill/>
      </xdr:spPr>
    </xdr:pic>
    <xdr:clientData fLocksWithSheet="0"/>
  </xdr:oneCellAnchor>
  <xdr:oneCellAnchor>
    <xdr:from>
      <xdr:col>1</xdr:col>
      <xdr:colOff>0</xdr:colOff>
      <xdr:row>337</xdr:row>
      <xdr:rowOff>0</xdr:rowOff>
    </xdr:from>
    <xdr:ext cx="457200" cy="476250"/>
    <xdr:pic>
      <xdr:nvPicPr>
        <xdr:cNvPr id="0" name="image350.png"/>
        <xdr:cNvPicPr preferRelativeResize="0"/>
      </xdr:nvPicPr>
      <xdr:blipFill>
        <a:blip cstate="print" r:embed="rId337"/>
        <a:stretch>
          <a:fillRect/>
        </a:stretch>
      </xdr:blipFill>
      <xdr:spPr>
        <a:prstGeom prst="rect">
          <a:avLst/>
        </a:prstGeom>
        <a:noFill/>
      </xdr:spPr>
    </xdr:pic>
    <xdr:clientData fLocksWithSheet="0"/>
  </xdr:oneCellAnchor>
  <xdr:oneCellAnchor>
    <xdr:from>
      <xdr:col>1</xdr:col>
      <xdr:colOff>0</xdr:colOff>
      <xdr:row>338</xdr:row>
      <xdr:rowOff>0</xdr:rowOff>
    </xdr:from>
    <xdr:ext cx="438150" cy="476250"/>
    <xdr:pic>
      <xdr:nvPicPr>
        <xdr:cNvPr id="0" name="image311.png"/>
        <xdr:cNvPicPr preferRelativeResize="0"/>
      </xdr:nvPicPr>
      <xdr:blipFill>
        <a:blip cstate="print" r:embed="rId338"/>
        <a:stretch>
          <a:fillRect/>
        </a:stretch>
      </xdr:blipFill>
      <xdr:spPr>
        <a:prstGeom prst="rect">
          <a:avLst/>
        </a:prstGeom>
        <a:noFill/>
      </xdr:spPr>
    </xdr:pic>
    <xdr:clientData fLocksWithSheet="0"/>
  </xdr:oneCellAnchor>
  <xdr:oneCellAnchor>
    <xdr:from>
      <xdr:col>1</xdr:col>
      <xdr:colOff>0</xdr:colOff>
      <xdr:row>339</xdr:row>
      <xdr:rowOff>0</xdr:rowOff>
    </xdr:from>
    <xdr:ext cx="485775" cy="371475"/>
    <xdr:pic>
      <xdr:nvPicPr>
        <xdr:cNvPr id="0" name="image334.png"/>
        <xdr:cNvPicPr preferRelativeResize="0"/>
      </xdr:nvPicPr>
      <xdr:blipFill>
        <a:blip cstate="print" r:embed="rId339"/>
        <a:stretch>
          <a:fillRect/>
        </a:stretch>
      </xdr:blipFill>
      <xdr:spPr>
        <a:prstGeom prst="rect">
          <a:avLst/>
        </a:prstGeom>
        <a:noFill/>
      </xdr:spPr>
    </xdr:pic>
    <xdr:clientData fLocksWithSheet="0"/>
  </xdr:oneCellAnchor>
  <xdr:oneCellAnchor>
    <xdr:from>
      <xdr:col>1</xdr:col>
      <xdr:colOff>0</xdr:colOff>
      <xdr:row>340</xdr:row>
      <xdr:rowOff>0</xdr:rowOff>
    </xdr:from>
    <xdr:ext cx="485775" cy="419100"/>
    <xdr:pic>
      <xdr:nvPicPr>
        <xdr:cNvPr id="0" name="image354.png"/>
        <xdr:cNvPicPr preferRelativeResize="0"/>
      </xdr:nvPicPr>
      <xdr:blipFill>
        <a:blip cstate="print" r:embed="rId340"/>
        <a:stretch>
          <a:fillRect/>
        </a:stretch>
      </xdr:blipFill>
      <xdr:spPr>
        <a:prstGeom prst="rect">
          <a:avLst/>
        </a:prstGeom>
        <a:noFill/>
      </xdr:spPr>
    </xdr:pic>
    <xdr:clientData fLocksWithSheet="0"/>
  </xdr:oneCellAnchor>
  <xdr:oneCellAnchor>
    <xdr:from>
      <xdr:col>1</xdr:col>
      <xdr:colOff>0</xdr:colOff>
      <xdr:row>341</xdr:row>
      <xdr:rowOff>0</xdr:rowOff>
    </xdr:from>
    <xdr:ext cx="485775" cy="419100"/>
    <xdr:pic>
      <xdr:nvPicPr>
        <xdr:cNvPr id="0" name="image323.png"/>
        <xdr:cNvPicPr preferRelativeResize="0"/>
      </xdr:nvPicPr>
      <xdr:blipFill>
        <a:blip cstate="print" r:embed="rId341"/>
        <a:stretch>
          <a:fillRect/>
        </a:stretch>
      </xdr:blipFill>
      <xdr:spPr>
        <a:prstGeom prst="rect">
          <a:avLst/>
        </a:prstGeom>
        <a:noFill/>
      </xdr:spPr>
    </xdr:pic>
    <xdr:clientData fLocksWithSheet="0"/>
  </xdr:oneCellAnchor>
  <xdr:oneCellAnchor>
    <xdr:from>
      <xdr:col>1</xdr:col>
      <xdr:colOff>0</xdr:colOff>
      <xdr:row>342</xdr:row>
      <xdr:rowOff>0</xdr:rowOff>
    </xdr:from>
    <xdr:ext cx="485775" cy="447675"/>
    <xdr:pic>
      <xdr:nvPicPr>
        <xdr:cNvPr id="0" name="image337.png"/>
        <xdr:cNvPicPr preferRelativeResize="0"/>
      </xdr:nvPicPr>
      <xdr:blipFill>
        <a:blip cstate="print" r:embed="rId342"/>
        <a:stretch>
          <a:fillRect/>
        </a:stretch>
      </xdr:blipFill>
      <xdr:spPr>
        <a:prstGeom prst="rect">
          <a:avLst/>
        </a:prstGeom>
        <a:noFill/>
      </xdr:spPr>
    </xdr:pic>
    <xdr:clientData fLocksWithSheet="0"/>
  </xdr:oneCellAnchor>
  <xdr:oneCellAnchor>
    <xdr:from>
      <xdr:col>1</xdr:col>
      <xdr:colOff>0</xdr:colOff>
      <xdr:row>343</xdr:row>
      <xdr:rowOff>0</xdr:rowOff>
    </xdr:from>
    <xdr:ext cx="485775" cy="438150"/>
    <xdr:pic>
      <xdr:nvPicPr>
        <xdr:cNvPr id="0" name="image326.png"/>
        <xdr:cNvPicPr preferRelativeResize="0"/>
      </xdr:nvPicPr>
      <xdr:blipFill>
        <a:blip cstate="print" r:embed="rId343"/>
        <a:stretch>
          <a:fillRect/>
        </a:stretch>
      </xdr:blipFill>
      <xdr:spPr>
        <a:prstGeom prst="rect">
          <a:avLst/>
        </a:prstGeom>
        <a:noFill/>
      </xdr:spPr>
    </xdr:pic>
    <xdr:clientData fLocksWithSheet="0"/>
  </xdr:oneCellAnchor>
  <xdr:oneCellAnchor>
    <xdr:from>
      <xdr:col>1</xdr:col>
      <xdr:colOff>0</xdr:colOff>
      <xdr:row>344</xdr:row>
      <xdr:rowOff>0</xdr:rowOff>
    </xdr:from>
    <xdr:ext cx="400050" cy="476250"/>
    <xdr:pic>
      <xdr:nvPicPr>
        <xdr:cNvPr id="0" name="image361.png"/>
        <xdr:cNvPicPr preferRelativeResize="0"/>
      </xdr:nvPicPr>
      <xdr:blipFill>
        <a:blip cstate="print" r:embed="rId344"/>
        <a:stretch>
          <a:fillRect/>
        </a:stretch>
      </xdr:blipFill>
      <xdr:spPr>
        <a:prstGeom prst="rect">
          <a:avLst/>
        </a:prstGeom>
        <a:noFill/>
      </xdr:spPr>
    </xdr:pic>
    <xdr:clientData fLocksWithSheet="0"/>
  </xdr:oneCellAnchor>
  <xdr:oneCellAnchor>
    <xdr:from>
      <xdr:col>1</xdr:col>
      <xdr:colOff>0</xdr:colOff>
      <xdr:row>345</xdr:row>
      <xdr:rowOff>0</xdr:rowOff>
    </xdr:from>
    <xdr:ext cx="485775" cy="409575"/>
    <xdr:pic>
      <xdr:nvPicPr>
        <xdr:cNvPr id="0" name="image331.png"/>
        <xdr:cNvPicPr preferRelativeResize="0"/>
      </xdr:nvPicPr>
      <xdr:blipFill>
        <a:blip cstate="print" r:embed="rId345"/>
        <a:stretch>
          <a:fillRect/>
        </a:stretch>
      </xdr:blipFill>
      <xdr:spPr>
        <a:prstGeom prst="rect">
          <a:avLst/>
        </a:prstGeom>
        <a:noFill/>
      </xdr:spPr>
    </xdr:pic>
    <xdr:clientData fLocksWithSheet="0"/>
  </xdr:oneCellAnchor>
  <xdr:oneCellAnchor>
    <xdr:from>
      <xdr:col>1</xdr:col>
      <xdr:colOff>0</xdr:colOff>
      <xdr:row>346</xdr:row>
      <xdr:rowOff>0</xdr:rowOff>
    </xdr:from>
    <xdr:ext cx="485775" cy="428625"/>
    <xdr:pic>
      <xdr:nvPicPr>
        <xdr:cNvPr id="0" name="image314.png"/>
        <xdr:cNvPicPr preferRelativeResize="0"/>
      </xdr:nvPicPr>
      <xdr:blipFill>
        <a:blip cstate="print" r:embed="rId346"/>
        <a:stretch>
          <a:fillRect/>
        </a:stretch>
      </xdr:blipFill>
      <xdr:spPr>
        <a:prstGeom prst="rect">
          <a:avLst/>
        </a:prstGeom>
        <a:noFill/>
      </xdr:spPr>
    </xdr:pic>
    <xdr:clientData fLocksWithSheet="0"/>
  </xdr:oneCellAnchor>
  <xdr:oneCellAnchor>
    <xdr:from>
      <xdr:col>1</xdr:col>
      <xdr:colOff>0</xdr:colOff>
      <xdr:row>347</xdr:row>
      <xdr:rowOff>0</xdr:rowOff>
    </xdr:from>
    <xdr:ext cx="485775" cy="447675"/>
    <xdr:pic>
      <xdr:nvPicPr>
        <xdr:cNvPr id="0" name="image349.png"/>
        <xdr:cNvPicPr preferRelativeResize="0"/>
      </xdr:nvPicPr>
      <xdr:blipFill>
        <a:blip cstate="print" r:embed="rId347"/>
        <a:stretch>
          <a:fillRect/>
        </a:stretch>
      </xdr:blipFill>
      <xdr:spPr>
        <a:prstGeom prst="rect">
          <a:avLst/>
        </a:prstGeom>
        <a:noFill/>
      </xdr:spPr>
    </xdr:pic>
    <xdr:clientData fLocksWithSheet="0"/>
  </xdr:oneCellAnchor>
  <xdr:oneCellAnchor>
    <xdr:from>
      <xdr:col>1</xdr:col>
      <xdr:colOff>0</xdr:colOff>
      <xdr:row>348</xdr:row>
      <xdr:rowOff>0</xdr:rowOff>
    </xdr:from>
    <xdr:ext cx="342900" cy="476250"/>
    <xdr:pic>
      <xdr:nvPicPr>
        <xdr:cNvPr id="0" name="image329.png"/>
        <xdr:cNvPicPr preferRelativeResize="0"/>
      </xdr:nvPicPr>
      <xdr:blipFill>
        <a:blip cstate="print" r:embed="rId348"/>
        <a:stretch>
          <a:fillRect/>
        </a:stretch>
      </xdr:blipFill>
      <xdr:spPr>
        <a:prstGeom prst="rect">
          <a:avLst/>
        </a:prstGeom>
        <a:noFill/>
      </xdr:spPr>
    </xdr:pic>
    <xdr:clientData fLocksWithSheet="0"/>
  </xdr:oneCellAnchor>
  <xdr:oneCellAnchor>
    <xdr:from>
      <xdr:col>1</xdr:col>
      <xdr:colOff>0</xdr:colOff>
      <xdr:row>349</xdr:row>
      <xdr:rowOff>0</xdr:rowOff>
    </xdr:from>
    <xdr:ext cx="428625" cy="476250"/>
    <xdr:pic>
      <xdr:nvPicPr>
        <xdr:cNvPr id="0" name="image332.png"/>
        <xdr:cNvPicPr preferRelativeResize="0"/>
      </xdr:nvPicPr>
      <xdr:blipFill>
        <a:blip cstate="print" r:embed="rId349"/>
        <a:stretch>
          <a:fillRect/>
        </a:stretch>
      </xdr:blipFill>
      <xdr:spPr>
        <a:prstGeom prst="rect">
          <a:avLst/>
        </a:prstGeom>
        <a:noFill/>
      </xdr:spPr>
    </xdr:pic>
    <xdr:clientData fLocksWithSheet="0"/>
  </xdr:oneCellAnchor>
  <xdr:oneCellAnchor>
    <xdr:from>
      <xdr:col>1</xdr:col>
      <xdr:colOff>0</xdr:colOff>
      <xdr:row>350</xdr:row>
      <xdr:rowOff>0</xdr:rowOff>
    </xdr:from>
    <xdr:ext cx="476250" cy="457200"/>
    <xdr:pic>
      <xdr:nvPicPr>
        <xdr:cNvPr id="0" name="image330.png"/>
        <xdr:cNvPicPr preferRelativeResize="0"/>
      </xdr:nvPicPr>
      <xdr:blipFill>
        <a:blip cstate="print" r:embed="rId350"/>
        <a:stretch>
          <a:fillRect/>
        </a:stretch>
      </xdr:blipFill>
      <xdr:spPr>
        <a:prstGeom prst="rect">
          <a:avLst/>
        </a:prstGeom>
        <a:noFill/>
      </xdr:spPr>
    </xdr:pic>
    <xdr:clientData fLocksWithSheet="0"/>
  </xdr:oneCellAnchor>
  <xdr:oneCellAnchor>
    <xdr:from>
      <xdr:col>1</xdr:col>
      <xdr:colOff>0</xdr:colOff>
      <xdr:row>351</xdr:row>
      <xdr:rowOff>0</xdr:rowOff>
    </xdr:from>
    <xdr:ext cx="381000" cy="476250"/>
    <xdr:pic>
      <xdr:nvPicPr>
        <xdr:cNvPr id="0" name="image343.png"/>
        <xdr:cNvPicPr preferRelativeResize="0"/>
      </xdr:nvPicPr>
      <xdr:blipFill>
        <a:blip cstate="print" r:embed="rId351"/>
        <a:stretch>
          <a:fillRect/>
        </a:stretch>
      </xdr:blipFill>
      <xdr:spPr>
        <a:prstGeom prst="rect">
          <a:avLst/>
        </a:prstGeom>
        <a:noFill/>
      </xdr:spPr>
    </xdr:pic>
    <xdr:clientData fLocksWithSheet="0"/>
  </xdr:oneCellAnchor>
  <xdr:oneCellAnchor>
    <xdr:from>
      <xdr:col>1</xdr:col>
      <xdr:colOff>0</xdr:colOff>
      <xdr:row>352</xdr:row>
      <xdr:rowOff>0</xdr:rowOff>
    </xdr:from>
    <xdr:ext cx="419100" cy="476250"/>
    <xdr:pic>
      <xdr:nvPicPr>
        <xdr:cNvPr id="0" name="image340.png"/>
        <xdr:cNvPicPr preferRelativeResize="0"/>
      </xdr:nvPicPr>
      <xdr:blipFill>
        <a:blip cstate="print" r:embed="rId352"/>
        <a:stretch>
          <a:fillRect/>
        </a:stretch>
      </xdr:blipFill>
      <xdr:spPr>
        <a:prstGeom prst="rect">
          <a:avLst/>
        </a:prstGeom>
        <a:noFill/>
      </xdr:spPr>
    </xdr:pic>
    <xdr:clientData fLocksWithSheet="0"/>
  </xdr:oneCellAnchor>
  <xdr:oneCellAnchor>
    <xdr:from>
      <xdr:col>1</xdr:col>
      <xdr:colOff>0</xdr:colOff>
      <xdr:row>353</xdr:row>
      <xdr:rowOff>0</xdr:rowOff>
    </xdr:from>
    <xdr:ext cx="485775" cy="457200"/>
    <xdr:pic>
      <xdr:nvPicPr>
        <xdr:cNvPr id="0" name="image370.png"/>
        <xdr:cNvPicPr preferRelativeResize="0"/>
      </xdr:nvPicPr>
      <xdr:blipFill>
        <a:blip cstate="print" r:embed="rId353"/>
        <a:stretch>
          <a:fillRect/>
        </a:stretch>
      </xdr:blipFill>
      <xdr:spPr>
        <a:prstGeom prst="rect">
          <a:avLst/>
        </a:prstGeom>
        <a:noFill/>
      </xdr:spPr>
    </xdr:pic>
    <xdr:clientData fLocksWithSheet="0"/>
  </xdr:oneCellAnchor>
  <xdr:oneCellAnchor>
    <xdr:from>
      <xdr:col>1</xdr:col>
      <xdr:colOff>0</xdr:colOff>
      <xdr:row>354</xdr:row>
      <xdr:rowOff>0</xdr:rowOff>
    </xdr:from>
    <xdr:ext cx="485775" cy="428625"/>
    <xdr:pic>
      <xdr:nvPicPr>
        <xdr:cNvPr id="0" name="image351.png"/>
        <xdr:cNvPicPr preferRelativeResize="0"/>
      </xdr:nvPicPr>
      <xdr:blipFill>
        <a:blip cstate="print" r:embed="rId354"/>
        <a:stretch>
          <a:fillRect/>
        </a:stretch>
      </xdr:blipFill>
      <xdr:spPr>
        <a:prstGeom prst="rect">
          <a:avLst/>
        </a:prstGeom>
        <a:noFill/>
      </xdr:spPr>
    </xdr:pic>
    <xdr:clientData fLocksWithSheet="0"/>
  </xdr:oneCellAnchor>
  <xdr:oneCellAnchor>
    <xdr:from>
      <xdr:col>1</xdr:col>
      <xdr:colOff>0</xdr:colOff>
      <xdr:row>355</xdr:row>
      <xdr:rowOff>0</xdr:rowOff>
    </xdr:from>
    <xdr:ext cx="485775" cy="285750"/>
    <xdr:pic>
      <xdr:nvPicPr>
        <xdr:cNvPr id="0" name="image339.png"/>
        <xdr:cNvPicPr preferRelativeResize="0"/>
      </xdr:nvPicPr>
      <xdr:blipFill>
        <a:blip cstate="print" r:embed="rId355"/>
        <a:stretch>
          <a:fillRect/>
        </a:stretch>
      </xdr:blipFill>
      <xdr:spPr>
        <a:prstGeom prst="rect">
          <a:avLst/>
        </a:prstGeom>
        <a:noFill/>
      </xdr:spPr>
    </xdr:pic>
    <xdr:clientData fLocksWithSheet="0"/>
  </xdr:oneCellAnchor>
  <xdr:oneCellAnchor>
    <xdr:from>
      <xdr:col>1</xdr:col>
      <xdr:colOff>0</xdr:colOff>
      <xdr:row>356</xdr:row>
      <xdr:rowOff>0</xdr:rowOff>
    </xdr:from>
    <xdr:ext cx="485775" cy="457200"/>
    <xdr:pic>
      <xdr:nvPicPr>
        <xdr:cNvPr id="0" name="image367.png"/>
        <xdr:cNvPicPr preferRelativeResize="0"/>
      </xdr:nvPicPr>
      <xdr:blipFill>
        <a:blip cstate="print" r:embed="rId356"/>
        <a:stretch>
          <a:fillRect/>
        </a:stretch>
      </xdr:blipFill>
      <xdr:spPr>
        <a:prstGeom prst="rect">
          <a:avLst/>
        </a:prstGeom>
        <a:noFill/>
      </xdr:spPr>
    </xdr:pic>
    <xdr:clientData fLocksWithSheet="0"/>
  </xdr:oneCellAnchor>
  <xdr:oneCellAnchor>
    <xdr:from>
      <xdr:col>1</xdr:col>
      <xdr:colOff>0</xdr:colOff>
      <xdr:row>357</xdr:row>
      <xdr:rowOff>0</xdr:rowOff>
    </xdr:from>
    <xdr:ext cx="352425" cy="476250"/>
    <xdr:pic>
      <xdr:nvPicPr>
        <xdr:cNvPr id="0" name="image347.png"/>
        <xdr:cNvPicPr preferRelativeResize="0"/>
      </xdr:nvPicPr>
      <xdr:blipFill>
        <a:blip cstate="print" r:embed="rId357"/>
        <a:stretch>
          <a:fillRect/>
        </a:stretch>
      </xdr:blipFill>
      <xdr:spPr>
        <a:prstGeom prst="rect">
          <a:avLst/>
        </a:prstGeom>
        <a:noFill/>
      </xdr:spPr>
    </xdr:pic>
    <xdr:clientData fLocksWithSheet="0"/>
  </xdr:oneCellAnchor>
  <xdr:oneCellAnchor>
    <xdr:from>
      <xdr:col>1</xdr:col>
      <xdr:colOff>0</xdr:colOff>
      <xdr:row>358</xdr:row>
      <xdr:rowOff>0</xdr:rowOff>
    </xdr:from>
    <xdr:ext cx="485775" cy="428625"/>
    <xdr:pic>
      <xdr:nvPicPr>
        <xdr:cNvPr id="0" name="image341.png"/>
        <xdr:cNvPicPr preferRelativeResize="0"/>
      </xdr:nvPicPr>
      <xdr:blipFill>
        <a:blip cstate="print" r:embed="rId358"/>
        <a:stretch>
          <a:fillRect/>
        </a:stretch>
      </xdr:blipFill>
      <xdr:spPr>
        <a:prstGeom prst="rect">
          <a:avLst/>
        </a:prstGeom>
        <a:noFill/>
      </xdr:spPr>
    </xdr:pic>
    <xdr:clientData fLocksWithSheet="0"/>
  </xdr:oneCellAnchor>
  <xdr:oneCellAnchor>
    <xdr:from>
      <xdr:col>1</xdr:col>
      <xdr:colOff>0</xdr:colOff>
      <xdr:row>359</xdr:row>
      <xdr:rowOff>0</xdr:rowOff>
    </xdr:from>
    <xdr:ext cx="485775" cy="381000"/>
    <xdr:pic>
      <xdr:nvPicPr>
        <xdr:cNvPr id="0" name="image362.png"/>
        <xdr:cNvPicPr preferRelativeResize="0"/>
      </xdr:nvPicPr>
      <xdr:blipFill>
        <a:blip cstate="print" r:embed="rId359"/>
        <a:stretch>
          <a:fillRect/>
        </a:stretch>
      </xdr:blipFill>
      <xdr:spPr>
        <a:prstGeom prst="rect">
          <a:avLst/>
        </a:prstGeom>
        <a:noFill/>
      </xdr:spPr>
    </xdr:pic>
    <xdr:clientData fLocksWithSheet="0"/>
  </xdr:oneCellAnchor>
  <xdr:oneCellAnchor>
    <xdr:from>
      <xdr:col>1</xdr:col>
      <xdr:colOff>0</xdr:colOff>
      <xdr:row>360</xdr:row>
      <xdr:rowOff>0</xdr:rowOff>
    </xdr:from>
    <xdr:ext cx="314325" cy="476250"/>
    <xdr:pic>
      <xdr:nvPicPr>
        <xdr:cNvPr id="0" name="image35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xdr:col>
      <xdr:colOff>0</xdr:colOff>
      <xdr:row>361</xdr:row>
      <xdr:rowOff>0</xdr:rowOff>
    </xdr:from>
    <xdr:ext cx="485775" cy="438150"/>
    <xdr:pic>
      <xdr:nvPicPr>
        <xdr:cNvPr id="0" name="image368.png"/>
        <xdr:cNvPicPr preferRelativeResize="0"/>
      </xdr:nvPicPr>
      <xdr:blipFill>
        <a:blip cstate="print" r:embed="rId361"/>
        <a:stretch>
          <a:fillRect/>
        </a:stretch>
      </xdr:blipFill>
      <xdr:spPr>
        <a:prstGeom prst="rect">
          <a:avLst/>
        </a:prstGeom>
        <a:noFill/>
      </xdr:spPr>
    </xdr:pic>
    <xdr:clientData fLocksWithSheet="0"/>
  </xdr:oneCellAnchor>
  <xdr:oneCellAnchor>
    <xdr:from>
      <xdr:col>1</xdr:col>
      <xdr:colOff>0</xdr:colOff>
      <xdr:row>362</xdr:row>
      <xdr:rowOff>0</xdr:rowOff>
    </xdr:from>
    <xdr:ext cx="447675" cy="476250"/>
    <xdr:pic>
      <xdr:nvPicPr>
        <xdr:cNvPr id="0" name="image356.png"/>
        <xdr:cNvPicPr preferRelativeResize="0"/>
      </xdr:nvPicPr>
      <xdr:blipFill>
        <a:blip cstate="print" r:embed="rId362"/>
        <a:stretch>
          <a:fillRect/>
        </a:stretch>
      </xdr:blipFill>
      <xdr:spPr>
        <a:prstGeom prst="rect">
          <a:avLst/>
        </a:prstGeom>
        <a:noFill/>
      </xdr:spPr>
    </xdr:pic>
    <xdr:clientData fLocksWithSheet="0"/>
  </xdr:oneCellAnchor>
  <xdr:oneCellAnchor>
    <xdr:from>
      <xdr:col>1</xdr:col>
      <xdr:colOff>0</xdr:colOff>
      <xdr:row>363</xdr:row>
      <xdr:rowOff>0</xdr:rowOff>
    </xdr:from>
    <xdr:ext cx="447675" cy="476250"/>
    <xdr:pic>
      <xdr:nvPicPr>
        <xdr:cNvPr id="0" name="image366.png"/>
        <xdr:cNvPicPr preferRelativeResize="0"/>
      </xdr:nvPicPr>
      <xdr:blipFill>
        <a:blip cstate="print" r:embed="rId363"/>
        <a:stretch>
          <a:fillRect/>
        </a:stretch>
      </xdr:blipFill>
      <xdr:spPr>
        <a:prstGeom prst="rect">
          <a:avLst/>
        </a:prstGeom>
        <a:noFill/>
      </xdr:spPr>
    </xdr:pic>
    <xdr:clientData fLocksWithSheet="0"/>
  </xdr:oneCellAnchor>
  <xdr:oneCellAnchor>
    <xdr:from>
      <xdr:col>1</xdr:col>
      <xdr:colOff>0</xdr:colOff>
      <xdr:row>364</xdr:row>
      <xdr:rowOff>0</xdr:rowOff>
    </xdr:from>
    <xdr:ext cx="419100" cy="476250"/>
    <xdr:pic>
      <xdr:nvPicPr>
        <xdr:cNvPr id="0" name="image355.png"/>
        <xdr:cNvPicPr preferRelativeResize="0"/>
      </xdr:nvPicPr>
      <xdr:blipFill>
        <a:blip cstate="print" r:embed="rId364"/>
        <a:stretch>
          <a:fillRect/>
        </a:stretch>
      </xdr:blipFill>
      <xdr:spPr>
        <a:prstGeom prst="rect">
          <a:avLst/>
        </a:prstGeom>
        <a:noFill/>
      </xdr:spPr>
    </xdr:pic>
    <xdr:clientData fLocksWithSheet="0"/>
  </xdr:oneCellAnchor>
  <xdr:oneCellAnchor>
    <xdr:from>
      <xdr:col>1</xdr:col>
      <xdr:colOff>0</xdr:colOff>
      <xdr:row>365</xdr:row>
      <xdr:rowOff>0</xdr:rowOff>
    </xdr:from>
    <xdr:ext cx="333375" cy="476250"/>
    <xdr:pic>
      <xdr:nvPicPr>
        <xdr:cNvPr id="0" name="image372.png"/>
        <xdr:cNvPicPr preferRelativeResize="0"/>
      </xdr:nvPicPr>
      <xdr:blipFill>
        <a:blip cstate="print" r:embed="rId365"/>
        <a:stretch>
          <a:fillRect/>
        </a:stretch>
      </xdr:blipFill>
      <xdr:spPr>
        <a:prstGeom prst="rect">
          <a:avLst/>
        </a:prstGeom>
        <a:noFill/>
      </xdr:spPr>
    </xdr:pic>
    <xdr:clientData fLocksWithSheet="0"/>
  </xdr:oneCellAnchor>
  <xdr:oneCellAnchor>
    <xdr:from>
      <xdr:col>1</xdr:col>
      <xdr:colOff>0</xdr:colOff>
      <xdr:row>366</xdr:row>
      <xdr:rowOff>0</xdr:rowOff>
    </xdr:from>
    <xdr:ext cx="485775" cy="419100"/>
    <xdr:pic>
      <xdr:nvPicPr>
        <xdr:cNvPr id="0" name="image371.png"/>
        <xdr:cNvPicPr preferRelativeResize="0"/>
      </xdr:nvPicPr>
      <xdr:blipFill>
        <a:blip cstate="print" r:embed="rId366"/>
        <a:stretch>
          <a:fillRect/>
        </a:stretch>
      </xdr:blipFill>
      <xdr:spPr>
        <a:prstGeom prst="rect">
          <a:avLst/>
        </a:prstGeom>
        <a:noFill/>
      </xdr:spPr>
    </xdr:pic>
    <xdr:clientData fLocksWithSheet="0"/>
  </xdr:oneCellAnchor>
  <xdr:oneCellAnchor>
    <xdr:from>
      <xdr:col>1</xdr:col>
      <xdr:colOff>0</xdr:colOff>
      <xdr:row>367</xdr:row>
      <xdr:rowOff>0</xdr:rowOff>
    </xdr:from>
    <xdr:ext cx="476250" cy="476250"/>
    <xdr:pic>
      <xdr:nvPicPr>
        <xdr:cNvPr id="0" name="image353.png"/>
        <xdr:cNvPicPr preferRelativeResize="0"/>
      </xdr:nvPicPr>
      <xdr:blipFill>
        <a:blip cstate="print" r:embed="rId367"/>
        <a:stretch>
          <a:fillRect/>
        </a:stretch>
      </xdr:blipFill>
      <xdr:spPr>
        <a:prstGeom prst="rect">
          <a:avLst/>
        </a:prstGeom>
        <a:noFill/>
      </xdr:spPr>
    </xdr:pic>
    <xdr:clientData fLocksWithSheet="0"/>
  </xdr:oneCellAnchor>
  <xdr:oneCellAnchor>
    <xdr:from>
      <xdr:col>1</xdr:col>
      <xdr:colOff>0</xdr:colOff>
      <xdr:row>368</xdr:row>
      <xdr:rowOff>0</xdr:rowOff>
    </xdr:from>
    <xdr:ext cx="485775" cy="409575"/>
    <xdr:pic>
      <xdr:nvPicPr>
        <xdr:cNvPr id="0" name="image364.png"/>
        <xdr:cNvPicPr preferRelativeResize="0"/>
      </xdr:nvPicPr>
      <xdr:blipFill>
        <a:blip cstate="print" r:embed="rId368"/>
        <a:stretch>
          <a:fillRect/>
        </a:stretch>
      </xdr:blipFill>
      <xdr:spPr>
        <a:prstGeom prst="rect">
          <a:avLst/>
        </a:prstGeom>
        <a:noFill/>
      </xdr:spPr>
    </xdr:pic>
    <xdr:clientData fLocksWithSheet="0"/>
  </xdr:oneCellAnchor>
  <xdr:oneCellAnchor>
    <xdr:from>
      <xdr:col>1</xdr:col>
      <xdr:colOff>0</xdr:colOff>
      <xdr:row>369</xdr:row>
      <xdr:rowOff>0</xdr:rowOff>
    </xdr:from>
    <xdr:ext cx="485775" cy="371475"/>
    <xdr:pic>
      <xdr:nvPicPr>
        <xdr:cNvPr id="0" name="image363.png"/>
        <xdr:cNvPicPr preferRelativeResize="0"/>
      </xdr:nvPicPr>
      <xdr:blipFill>
        <a:blip cstate="print" r:embed="rId369"/>
        <a:stretch>
          <a:fillRect/>
        </a:stretch>
      </xdr:blipFill>
      <xdr:spPr>
        <a:prstGeom prst="rect">
          <a:avLst/>
        </a:prstGeom>
        <a:noFill/>
      </xdr:spPr>
    </xdr:pic>
    <xdr:clientData fLocksWithSheet="0"/>
  </xdr:oneCellAnchor>
  <xdr:oneCellAnchor>
    <xdr:from>
      <xdr:col>1</xdr:col>
      <xdr:colOff>0</xdr:colOff>
      <xdr:row>370</xdr:row>
      <xdr:rowOff>0</xdr:rowOff>
    </xdr:from>
    <xdr:ext cx="476250" cy="476250"/>
    <xdr:pic>
      <xdr:nvPicPr>
        <xdr:cNvPr id="0" name="image360.png"/>
        <xdr:cNvPicPr preferRelativeResize="0"/>
      </xdr:nvPicPr>
      <xdr:blipFill>
        <a:blip cstate="print" r:embed="rId370"/>
        <a:stretch>
          <a:fillRect/>
        </a:stretch>
      </xdr:blipFill>
      <xdr:spPr>
        <a:prstGeom prst="rect">
          <a:avLst/>
        </a:prstGeom>
        <a:noFill/>
      </xdr:spPr>
    </xdr:pic>
    <xdr:clientData fLocksWithSheet="0"/>
  </xdr:oneCellAnchor>
  <xdr:oneCellAnchor>
    <xdr:from>
      <xdr:col>1</xdr:col>
      <xdr:colOff>0</xdr:colOff>
      <xdr:row>371</xdr:row>
      <xdr:rowOff>0</xdr:rowOff>
    </xdr:from>
    <xdr:ext cx="476250" cy="476250"/>
    <xdr:pic>
      <xdr:nvPicPr>
        <xdr:cNvPr id="0" name="image358.png"/>
        <xdr:cNvPicPr preferRelativeResize="0"/>
      </xdr:nvPicPr>
      <xdr:blipFill>
        <a:blip cstate="print" r:embed="rId371"/>
        <a:stretch>
          <a:fillRect/>
        </a:stretch>
      </xdr:blipFill>
      <xdr:spPr>
        <a:prstGeom prst="rect">
          <a:avLst/>
        </a:prstGeom>
        <a:noFill/>
      </xdr:spPr>
    </xdr:pic>
    <xdr:clientData fLocksWithSheet="0"/>
  </xdr:oneCellAnchor>
  <xdr:oneCellAnchor>
    <xdr:from>
      <xdr:col>1</xdr:col>
      <xdr:colOff>0</xdr:colOff>
      <xdr:row>372</xdr:row>
      <xdr:rowOff>0</xdr:rowOff>
    </xdr:from>
    <xdr:ext cx="485775" cy="409575"/>
    <xdr:pic>
      <xdr:nvPicPr>
        <xdr:cNvPr id="0" name="image342.png"/>
        <xdr:cNvPicPr preferRelativeResize="0"/>
      </xdr:nvPicPr>
      <xdr:blipFill>
        <a:blip cstate="print" r:embed="rId37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19" displayName="Comparison" name="Comparison" id="1">
  <tableColumns count="4">
    <tableColumn name="Type" id="1"/>
    <tableColumn name="Average BST" id="2"/>
    <tableColumn name="Average Rating" id="3"/>
    <tableColumn name="Roguestone%" id="4"/>
  </tableColumns>
  <tableStyleInfo name="Comparison-style" showColumnStripes="0" showFirstColumn="1" showLastColumn="1" showRowStripes="1"/>
</table>
</file>

<file path=xl/tables/table2.xml><?xml version="1.0" encoding="utf-8"?>
<table xmlns="http://schemas.openxmlformats.org/spreadsheetml/2006/main" ref="A1:I35" displayName="Bug" name="Bug" id="2">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Bug-style" showColumnStripes="0" showFirstColumn="1" showLastColumn="1" showRowStripes="1"/>
</table>
</file>

<file path=xl/tables/table3.xml><?xml version="1.0" encoding="utf-8"?>
<table xmlns="http://schemas.openxmlformats.org/spreadsheetml/2006/main" ref="A1:I24" displayName="Dark" name="Dark" id="3">
  <tableColumns count="9">
    <tableColumn name="Qwi" id="1"/>
    <tableColumn name="Pokemon" id="2"/>
    <tableColumn name="BST" id="3"/>
    <tableColumn name="Evo method" id="4"/>
    <tableColumn name="Target BST" id="5"/>
    <tableColumn name="Moves 9 to Evo" id="6"/>
    <tableColumn name="Alt Type" id="7"/>
    <tableColumn name="Rating" id="8"/>
    <tableColumn name="Ranking" id="9"/>
  </tableColumns>
  <tableStyleInfo name="Dark-style" showColumnStripes="0" showFirstColumn="1" showLastColumn="1" showRowStripes="1"/>
</table>
</file>

<file path=xl/tables/table4.xml><?xml version="1.0" encoding="utf-8"?>
<table xmlns="http://schemas.openxmlformats.org/spreadsheetml/2006/main" ref="A1:I13" displayName="Dragon" name="Dragon" id="4">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Dragon-style" showColumnStripes="0" showFirstColumn="1" showLastColumn="1" showRowStripes="1"/>
</table>
</file>

<file path=xl/tables/table5.xml><?xml version="1.0" encoding="utf-8"?>
<table xmlns="http://schemas.openxmlformats.org/spreadsheetml/2006/main" ref="A1:I24" displayName="Electric" name="Electric" id="5">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Electric-style" showColumnStripes="0" showFirstColumn="1" showLastColumn="1" showRowStripes="1"/>
</table>
</file>

<file path=xl/tables/table6.xml><?xml version="1.0" encoding="utf-8"?>
<table xmlns="http://schemas.openxmlformats.org/spreadsheetml/2006/main" ref="A1:I19" displayName="Fairy" name="Fairy" id="6">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Fairy-style" showColumnStripes="0" showFirstColumn="1" showLastColumn="1" showRowStripes="1"/>
</table>
</file>

<file path=xl/tables/table7.xml><?xml version="1.0" encoding="utf-8"?>
<table xmlns="http://schemas.openxmlformats.org/spreadsheetml/2006/main" ref="A1:I18" displayName="Fighting" name="Fighting" id="7">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Fighting-style" showColumnStripes="0" showFirstColumn="1" showLastColumn="1" showRowStripes="1"/>
</table>
</file>

<file path=xl/tables/table8.xml><?xml version="1.0" encoding="utf-8"?>
<table xmlns="http://schemas.openxmlformats.org/spreadsheetml/2006/main" ref="A1:I26" displayName="Fire" name="Fire" id="8">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Fire-style" showColumnStripes="0" showFirstColumn="1" showLastColumn="1" showRowStripes="1"/>
</table>
</file>

<file path=xl/tables/table9.xml><?xml version="1.0" encoding="utf-8"?>
<table xmlns="http://schemas.openxmlformats.org/spreadsheetml/2006/main" ref="A1:I33" displayName="Flying" name="Flying" id="9">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Flying-style" showColumnStripes="0" showFirstColumn="1" showLastColumn="1" showRowStripes="1"/>
</table>
</file>

<file path=xl/tables/table10.xml><?xml version="1.0" encoding="utf-8"?>
<table xmlns="http://schemas.openxmlformats.org/spreadsheetml/2006/main" ref="A1:I24" displayName="Ghost" name="Ghost" id="10">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Ghost-style" showColumnStripes="0" showFirstColumn="1" showLastColumn="1" showRowStripes="1"/>
</table>
</file>

<file path=xl/tables/table11.xml><?xml version="1.0" encoding="utf-8"?>
<table xmlns="http://schemas.openxmlformats.org/spreadsheetml/2006/main" ref="A1:I46" displayName="Grass" name="Grass" id="11">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Grass-style" showColumnStripes="0" showFirstColumn="1" showLastColumn="1" showRowStripes="1"/>
</table>
</file>

<file path=xl/tables/table12.xml><?xml version="1.0" encoding="utf-8"?>
<table xmlns="http://schemas.openxmlformats.org/spreadsheetml/2006/main" ref="A1:I29" displayName="Ground" name="Ground" id="12">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Ground-style" showColumnStripes="0" showFirstColumn="1" showLastColumn="1" showRowStripes="1"/>
</table>
</file>

<file path=xl/tables/table13.xml><?xml version="1.0" encoding="utf-8"?>
<table xmlns="http://schemas.openxmlformats.org/spreadsheetml/2006/main" ref="A1:I18" displayName="Ice" name="Ice" id="13">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Ice-style" showColumnStripes="0" showFirstColumn="1" showLastColumn="1" showRowStripes="1"/>
</table>
</file>

<file path=xl/tables/table14.xml><?xml version="1.0" encoding="utf-8"?>
<table xmlns="http://schemas.openxmlformats.org/spreadsheetml/2006/main" ref="A1:I56" displayName="Normal" name="Normal" id="14">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Normal-style" showColumnStripes="0" showFirstColumn="1" showLastColumn="1" showRowStripes="1"/>
</table>
</file>

<file path=xl/tables/table15.xml><?xml version="1.0" encoding="utf-8"?>
<table xmlns="http://schemas.openxmlformats.org/spreadsheetml/2006/main" ref="A1:I34" displayName="Poison" name="Poison" id="15">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Poison-style" showColumnStripes="0" showFirstColumn="1" showLastColumn="1" showRowStripes="1"/>
</table>
</file>

<file path=xl/tables/table16.xml><?xml version="1.0" encoding="utf-8"?>
<table xmlns="http://schemas.openxmlformats.org/spreadsheetml/2006/main" ref="A1:I30" displayName="Psychic" name="Psychic" id="16">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Psychic-style" showColumnStripes="0" showFirstColumn="1" showLastColumn="1" showRowStripes="1"/>
</table>
</file>

<file path=xl/tables/table17.xml><?xml version="1.0" encoding="utf-8"?>
<table xmlns="http://schemas.openxmlformats.org/spreadsheetml/2006/main" ref="A1:I28" displayName="Rock" name="Rock" id="17">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Rock-style" showColumnStripes="0" showFirstColumn="1" showLastColumn="1" showRowStripes="1"/>
</table>
</file>

<file path=xl/tables/table18.xml><?xml version="1.0" encoding="utf-8"?>
<table xmlns="http://schemas.openxmlformats.org/spreadsheetml/2006/main" ref="A1:I18" displayName="Steel" name="Steel" id="18">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Steel-style" showColumnStripes="0" showFirstColumn="1" showLastColumn="1" showRowStripes="1"/>
</table>
</file>

<file path=xl/tables/table19.xml><?xml version="1.0" encoding="utf-8"?>
<table xmlns="http://schemas.openxmlformats.org/spreadsheetml/2006/main" ref="A1:I60" displayName="Water" name="Water" id="19">
  <tableColumns count="9">
    <tableColumn name="!" id="1"/>
    <tableColumn name="Pokemon" id="2"/>
    <tableColumn name="BST" id="3"/>
    <tableColumn name="Evo method" id="4"/>
    <tableColumn name="Target BST" id="5"/>
    <tableColumn name="Moves 9 to Evo" id="6"/>
    <tableColumn name="Alt Type" id="7"/>
    <tableColumn name="Rating" id="8"/>
    <tableColumn name="Ranking" id="9"/>
  </tableColumns>
  <tableStyleInfo name="Wa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11I8PDubKOiPi3OYekIBQAMygVvo_tBjnYAYWMqkg-k/edit?tab=t.0" TargetMode="External"/><Relationship Id="rId2" Type="http://schemas.openxmlformats.org/officeDocument/2006/relationships/hyperlink" Target="http://roguemon.g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38"/>
    <col customWidth="1" min="2" max="2" width="2.0"/>
  </cols>
  <sheetData>
    <row r="1">
      <c r="A1" s="1" t="s">
        <v>0</v>
      </c>
    </row>
    <row r="2">
      <c r="A2" s="2" t="s">
        <v>1</v>
      </c>
    </row>
    <row r="3">
      <c r="A3" s="2" t="s">
        <v>2</v>
      </c>
    </row>
    <row r="4">
      <c r="A4" s="3" t="s">
        <v>3</v>
      </c>
    </row>
    <row r="5">
      <c r="A5" s="4"/>
    </row>
    <row r="6">
      <c r="A6" s="1" t="s">
        <v>4</v>
      </c>
    </row>
    <row r="7">
      <c r="A7" s="3" t="s">
        <v>5</v>
      </c>
    </row>
    <row r="8">
      <c r="A8" s="3" t="s">
        <v>6</v>
      </c>
    </row>
    <row r="9">
      <c r="A9" s="3" t="s">
        <v>7</v>
      </c>
    </row>
    <row r="10">
      <c r="A10" s="3" t="s">
        <v>8</v>
      </c>
    </row>
    <row r="11">
      <c r="A11" s="3" t="s">
        <v>9</v>
      </c>
    </row>
    <row r="12">
      <c r="A12" s="4"/>
    </row>
    <row r="13">
      <c r="A13" s="1" t="s">
        <v>10</v>
      </c>
    </row>
    <row r="14">
      <c r="A14" s="3" t="s">
        <v>11</v>
      </c>
    </row>
    <row r="15">
      <c r="A15" s="3" t="s">
        <v>12</v>
      </c>
    </row>
    <row r="16">
      <c r="A16" s="5" t="s">
        <v>13</v>
      </c>
    </row>
    <row r="17">
      <c r="A17" s="4"/>
    </row>
    <row r="18">
      <c r="A18" s="1" t="s">
        <v>14</v>
      </c>
    </row>
    <row r="19">
      <c r="A19" s="2" t="s">
        <v>15</v>
      </c>
    </row>
    <row r="20">
      <c r="A20" s="3" t="s">
        <v>16</v>
      </c>
    </row>
    <row r="21">
      <c r="A21" s="5" t="s">
        <v>17</v>
      </c>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sheetData>
  <customSheetViews>
    <customSheetView guid="{D0BB8C76-E679-4F6F-9D72-4C3E708D9740}" filter="1" showAutoFilter="1">
      <autoFilter ref="$F$14"/>
    </customSheetView>
  </customSheetViews>
  <hyperlinks>
    <hyperlink r:id="rId1" ref="A16"/>
    <hyperlink r:id="rId2" ref="A2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3.63"/>
    <col customWidth="1" min="3" max="3" width="16.25"/>
    <col customWidth="1" min="4" max="4" width="16.0"/>
  </cols>
  <sheetData>
    <row r="1" ht="22.5" customHeight="1">
      <c r="A1" s="6" t="s">
        <v>18</v>
      </c>
      <c r="B1" s="6" t="s">
        <v>19</v>
      </c>
      <c r="C1" s="6" t="s">
        <v>20</v>
      </c>
      <c r="D1" s="7" t="s">
        <v>21</v>
      </c>
    </row>
    <row r="2" ht="22.5" customHeight="1">
      <c r="A2" s="8" t="s">
        <v>22</v>
      </c>
      <c r="B2" s="9">
        <f>Fire!K2</f>
        <v>318.64</v>
      </c>
      <c r="C2" s="9">
        <f>Fire!K3</f>
        <v>6.44</v>
      </c>
      <c r="D2" s="10">
        <f>Fire!K5</f>
        <v>0.2</v>
      </c>
    </row>
    <row r="3" ht="22.5" customHeight="1">
      <c r="A3" s="8" t="s">
        <v>23</v>
      </c>
      <c r="B3" s="9">
        <f>Dragon!K2</f>
        <v>298.0833333</v>
      </c>
      <c r="C3" s="9">
        <f>Dragon!K3</f>
        <v>5.25</v>
      </c>
      <c r="D3" s="10">
        <f>Dragon!K5</f>
        <v>0.08333333333</v>
      </c>
    </row>
    <row r="4" ht="22.5" customHeight="1">
      <c r="A4" s="8" t="s">
        <v>24</v>
      </c>
      <c r="B4" s="9">
        <f>Rock!K2</f>
        <v>334.6666667</v>
      </c>
      <c r="C4" s="9">
        <f>Rock!K3</f>
        <v>5.111111111</v>
      </c>
      <c r="D4" s="10">
        <f>Rock!K5</f>
        <v>0.1111111111</v>
      </c>
    </row>
    <row r="5" ht="22.5" customHeight="1">
      <c r="A5" s="8" t="s">
        <v>25</v>
      </c>
      <c r="B5" s="9">
        <f>Dark!K2</f>
        <v>319.3913043</v>
      </c>
      <c r="C5" s="9">
        <f>Dark!K3</f>
        <v>5.043478261</v>
      </c>
      <c r="D5" s="10">
        <f>Dark!K5</f>
        <v>0.08695652174</v>
      </c>
    </row>
    <row r="6" ht="22.5" customHeight="1">
      <c r="A6" s="8" t="s">
        <v>26</v>
      </c>
      <c r="B6" s="9">
        <f>Water!K2</f>
        <v>309.2372881</v>
      </c>
      <c r="C6" s="9">
        <f>Water!K3</f>
        <v>4.711864407</v>
      </c>
      <c r="D6" s="10">
        <f>Water!K5</f>
        <v>0.08474576271</v>
      </c>
    </row>
    <row r="7" ht="22.5" customHeight="1">
      <c r="A7" s="8" t="s">
        <v>27</v>
      </c>
      <c r="B7" s="9">
        <f>Grass!K2</f>
        <v>298.1333333</v>
      </c>
      <c r="C7" s="9">
        <f>Grass!K3</f>
        <v>4.533333333</v>
      </c>
      <c r="D7" s="10">
        <f>Grass!K5</f>
        <v>0.2222222222</v>
      </c>
    </row>
    <row r="8" ht="22.5" customHeight="1">
      <c r="A8" s="8" t="s">
        <v>28</v>
      </c>
      <c r="B8" s="9">
        <f>Poison!K2</f>
        <v>308.1818182</v>
      </c>
      <c r="C8" s="9">
        <f>Poison!K3</f>
        <v>4.515151515</v>
      </c>
      <c r="D8" s="10">
        <f>Poison!K5</f>
        <v>0.0303030303</v>
      </c>
    </row>
    <row r="9" ht="22.5" customHeight="1">
      <c r="A9" s="8" t="s">
        <v>29</v>
      </c>
      <c r="B9" s="9">
        <f>Ghost!K2</f>
        <v>320.0869565</v>
      </c>
      <c r="C9" s="9">
        <f>Ghost!K3</f>
        <v>4.434782609</v>
      </c>
      <c r="D9" s="10">
        <f>Ghost!K5</f>
        <v>0.2173913043</v>
      </c>
    </row>
    <row r="10" ht="22.5" customHeight="1">
      <c r="A10" s="8" t="s">
        <v>30</v>
      </c>
      <c r="B10" s="9">
        <f>Fighting!K2</f>
        <v>320.5882353</v>
      </c>
      <c r="C10" s="9">
        <f>Fighting!K3</f>
        <v>4.352941176</v>
      </c>
      <c r="D10" s="10">
        <f>Fighting!K5</f>
        <v>0.1764705882</v>
      </c>
    </row>
    <row r="11" ht="22.5" customHeight="1">
      <c r="A11" s="8" t="s">
        <v>31</v>
      </c>
      <c r="B11" s="9">
        <f>Electric!K2</f>
        <v>307.4782609</v>
      </c>
      <c r="C11" s="9">
        <f>Electric!K3</f>
        <v>4.347826087</v>
      </c>
      <c r="D11" s="10">
        <f>Electric!K5</f>
        <v>0.1304347826</v>
      </c>
    </row>
    <row r="12" ht="22.5" customHeight="1">
      <c r="A12" s="8" t="s">
        <v>32</v>
      </c>
      <c r="B12" s="9">
        <f>Flying!K2</f>
        <v>303.0625</v>
      </c>
      <c r="C12" s="9">
        <f>Flying!K3</f>
        <v>4.21875</v>
      </c>
      <c r="D12" s="10">
        <f>Flying!K5</f>
        <v>0.0625</v>
      </c>
    </row>
    <row r="13" ht="22.5" customHeight="1">
      <c r="A13" s="8" t="s">
        <v>33</v>
      </c>
      <c r="B13" s="9">
        <f>Normal!K2</f>
        <v>296.3636364</v>
      </c>
      <c r="C13" s="9">
        <f>Normal!K3</f>
        <v>4.181818182</v>
      </c>
      <c r="D13" s="10">
        <f>Normal!K5</f>
        <v>0.09090909091</v>
      </c>
    </row>
    <row r="14" ht="22.5" customHeight="1">
      <c r="A14" s="8" t="s">
        <v>34</v>
      </c>
      <c r="B14" s="9">
        <f>Psychic!K2</f>
        <v>306.0344828</v>
      </c>
      <c r="C14" s="9">
        <f>Psychic!K3</f>
        <v>4.068965517</v>
      </c>
      <c r="D14" s="10">
        <f>Psychic!K5</f>
        <v>0.1034482759</v>
      </c>
    </row>
    <row r="15" ht="22.5" customHeight="1">
      <c r="A15" s="8" t="s">
        <v>35</v>
      </c>
      <c r="B15" s="9">
        <f>Ice!K2</f>
        <v>309.8823529</v>
      </c>
      <c r="C15" s="9">
        <f>Ice!K3</f>
        <v>4.058823529</v>
      </c>
      <c r="D15" s="10">
        <f>Ice!K5</f>
        <v>0.2941176471</v>
      </c>
    </row>
    <row r="16" ht="22.5" customHeight="1">
      <c r="A16" s="8" t="s">
        <v>36</v>
      </c>
      <c r="B16" s="9">
        <f>Steel!K2</f>
        <v>314.0588235</v>
      </c>
      <c r="C16" s="9">
        <f>Steel!K3</f>
        <v>3.647058824</v>
      </c>
      <c r="D16" s="10">
        <f>Steel!K5</f>
        <v>0.05882352941</v>
      </c>
    </row>
    <row r="17" ht="22.5" customHeight="1">
      <c r="A17" s="8" t="s">
        <v>37</v>
      </c>
      <c r="B17" s="9">
        <f>Fairy!K2</f>
        <v>280.5</v>
      </c>
      <c r="C17" s="9">
        <f>Fairy!K3</f>
        <v>3.611111111</v>
      </c>
      <c r="D17" s="10">
        <f>Fairy!K5</f>
        <v>0.2222222222</v>
      </c>
    </row>
    <row r="18" ht="22.5" customHeight="1">
      <c r="A18" s="8" t="s">
        <v>38</v>
      </c>
      <c r="B18" s="9">
        <f>Ground!K2</f>
        <v>305</v>
      </c>
      <c r="C18" s="9">
        <f>Ground!K3</f>
        <v>3.535714286</v>
      </c>
      <c r="D18" s="10">
        <f>Ground!K5</f>
        <v>0.07142857143</v>
      </c>
    </row>
    <row r="19" ht="22.5" customHeight="1">
      <c r="A19" s="8" t="s">
        <v>39</v>
      </c>
      <c r="B19" s="9">
        <f>Bug!K2</f>
        <v>267.6176471</v>
      </c>
      <c r="C19" s="9">
        <f>Bug!K3</f>
        <v>2.970588235</v>
      </c>
      <c r="D19" s="10">
        <f>Bug!K5</f>
        <v>0.05882352941</v>
      </c>
    </row>
  </sheetData>
  <dataValidations>
    <dataValidation type="custom" allowBlank="1" showDropDown="1" sqref="B2:C19">
      <formula1>AND(ISNUMBER(B2),(NOT(OR(NOT(ISERROR(DATEVALUE(B2))), AND(ISNUMBER(B2), LEFT(CELL("format", B2))="D")))))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34.0</v>
      </c>
    </row>
    <row r="2" ht="22.5" customHeight="1">
      <c r="A2" s="16" t="str">
        <f>IFNA(VLOOKUP(B2,Sprites!$A$2:$B$1200,2,FALSE),"")</f>
        <v/>
      </c>
      <c r="B2" s="17" t="s">
        <v>50</v>
      </c>
      <c r="C2" s="8">
        <v>360.0</v>
      </c>
      <c r="D2" s="8" t="s">
        <v>51</v>
      </c>
      <c r="E2" s="18">
        <v>550.0</v>
      </c>
      <c r="F2" s="8">
        <v>5.0</v>
      </c>
      <c r="G2" s="8" t="s">
        <v>22</v>
      </c>
      <c r="H2" s="8">
        <v>8.0</v>
      </c>
      <c r="I2" s="19">
        <v>1.0</v>
      </c>
      <c r="J2" s="14" t="s">
        <v>19</v>
      </c>
      <c r="K2" s="20">
        <f>SUM(C2:C1000)/K1</f>
        <v>267.6176471</v>
      </c>
    </row>
    <row r="3" ht="22.5" customHeight="1">
      <c r="A3" s="16" t="str">
        <f>IFNA(VLOOKUP(B3,Sprites!$A$2:$B$1200,2,FALSE),"")</f>
        <v/>
      </c>
      <c r="B3" s="17" t="s">
        <v>52</v>
      </c>
      <c r="C3" s="8">
        <v>390.0</v>
      </c>
      <c r="D3" s="8" t="s">
        <v>53</v>
      </c>
      <c r="E3" s="18">
        <v>515.0</v>
      </c>
      <c r="F3" s="8">
        <v>7.0</v>
      </c>
      <c r="G3" s="8" t="s">
        <v>32</v>
      </c>
      <c r="H3" s="8">
        <v>7.0</v>
      </c>
      <c r="I3" s="19">
        <v>2.0</v>
      </c>
      <c r="J3" s="14" t="s">
        <v>20</v>
      </c>
      <c r="K3" s="20">
        <f>SUM(H2:H1000)/K1</f>
        <v>2.970588235</v>
      </c>
    </row>
    <row r="4" ht="22.5" customHeight="1">
      <c r="A4" s="16" t="str">
        <f>IFNA(VLOOKUP(B4,Sprites!$A$2:$B$1200,2,FALSE),"")</f>
        <v/>
      </c>
      <c r="B4" s="17" t="s">
        <v>54</v>
      </c>
      <c r="C4" s="8">
        <v>305.0</v>
      </c>
      <c r="D4" s="8" t="s">
        <v>55</v>
      </c>
      <c r="E4" s="18">
        <v>525.0</v>
      </c>
      <c r="F4" s="8">
        <v>4.0</v>
      </c>
      <c r="G4" s="8" t="s">
        <v>22</v>
      </c>
      <c r="H4" s="8">
        <v>6.0</v>
      </c>
      <c r="I4" s="19">
        <v>3.0</v>
      </c>
      <c r="J4" s="14" t="s">
        <v>56</v>
      </c>
      <c r="K4" s="21">
        <f>COUNTIF(D2:D1000, "Roguestone")</f>
        <v>2</v>
      </c>
    </row>
    <row r="5" ht="22.5" customHeight="1">
      <c r="A5" s="16" t="str">
        <f>IFNA(VLOOKUP(B5,Sprites!$A$2:$B$1200,2,FALSE),"")</f>
        <v/>
      </c>
      <c r="B5" s="17" t="s">
        <v>57</v>
      </c>
      <c r="C5" s="8">
        <v>330.0</v>
      </c>
      <c r="D5" s="8" t="s">
        <v>51</v>
      </c>
      <c r="E5" s="18">
        <v>500.0</v>
      </c>
      <c r="F5" s="8">
        <v>11.0</v>
      </c>
      <c r="G5" s="8" t="s">
        <v>28</v>
      </c>
      <c r="H5" s="8">
        <v>5.0</v>
      </c>
      <c r="I5" s="19">
        <v>4.0</v>
      </c>
      <c r="J5" s="14" t="s">
        <v>58</v>
      </c>
      <c r="K5" s="22">
        <f>K4/K1</f>
        <v>0.05882352941</v>
      </c>
    </row>
    <row r="6" ht="22.5" customHeight="1">
      <c r="A6" s="16" t="str">
        <f>IFNA(VLOOKUP(B6,Sprites!$A$2:$B$1200,2,FALSE),"")</f>
        <v/>
      </c>
      <c r="B6" s="17" t="s">
        <v>59</v>
      </c>
      <c r="C6" s="8">
        <v>355.0</v>
      </c>
      <c r="D6" s="8" t="s">
        <v>51</v>
      </c>
      <c r="E6" s="18">
        <v>495.0</v>
      </c>
      <c r="F6" s="8">
        <v>7.0</v>
      </c>
      <c r="G6" s="8" t="s">
        <v>24</v>
      </c>
      <c r="H6" s="8">
        <v>5.0</v>
      </c>
      <c r="I6" s="19">
        <v>5.0</v>
      </c>
      <c r="L6" s="23"/>
      <c r="M6" s="24"/>
      <c r="N6" s="23"/>
      <c r="O6" s="24"/>
    </row>
    <row r="7" ht="22.5" customHeight="1">
      <c r="A7" s="16" t="str">
        <f>IFNA(VLOOKUP(B7,Sprites!$A$2:$B$1200,2,FALSE),"")</f>
        <v/>
      </c>
      <c r="B7" s="17" t="s">
        <v>60</v>
      </c>
      <c r="C7" s="8">
        <v>265.0</v>
      </c>
      <c r="D7" s="8" t="s">
        <v>61</v>
      </c>
      <c r="E7" s="18">
        <v>390.0</v>
      </c>
      <c r="F7" s="8">
        <v>4.0</v>
      </c>
      <c r="G7" s="8" t="s">
        <v>32</v>
      </c>
      <c r="H7" s="8">
        <v>5.0</v>
      </c>
      <c r="I7" s="19">
        <v>6.0</v>
      </c>
      <c r="M7" s="25"/>
      <c r="O7" s="25"/>
    </row>
    <row r="8" ht="22.5" customHeight="1">
      <c r="A8" s="16" t="str">
        <f>IFNA(VLOOKUP(B8,Sprites!$A$2:$B$1200,2,FALSE),"")</f>
        <v/>
      </c>
      <c r="B8" s="17" t="s">
        <v>62</v>
      </c>
      <c r="C8" s="8">
        <v>210.0</v>
      </c>
      <c r="D8" s="8" t="s">
        <v>63</v>
      </c>
      <c r="E8" s="18">
        <v>404.0</v>
      </c>
      <c r="F8" s="8">
        <v>2.0</v>
      </c>
      <c r="H8" s="8">
        <v>4.0</v>
      </c>
      <c r="I8" s="19">
        <v>7.0</v>
      </c>
      <c r="M8" s="25"/>
      <c r="O8" s="25"/>
    </row>
    <row r="9" ht="22.5" customHeight="1">
      <c r="A9" s="16" t="str">
        <f>IFNA(VLOOKUP(B9,Sprites!$A$2:$B$1200,2,FALSE),"")</f>
        <v/>
      </c>
      <c r="B9" s="17" t="s">
        <v>64</v>
      </c>
      <c r="C9" s="8">
        <v>300.0</v>
      </c>
      <c r="D9" s="8" t="s">
        <v>65</v>
      </c>
      <c r="E9" s="18">
        <v>420.0</v>
      </c>
      <c r="F9" s="8">
        <v>2.0</v>
      </c>
      <c r="H9" s="8">
        <v>4.0</v>
      </c>
      <c r="I9" s="19">
        <v>8.0</v>
      </c>
      <c r="M9" s="25"/>
      <c r="O9" s="25"/>
    </row>
    <row r="10" ht="22.5" customHeight="1">
      <c r="A10" s="16" t="str">
        <f>IFNA(VLOOKUP(B10,Sprites!$A$2:$B$1200,2,FALSE),"")</f>
        <v/>
      </c>
      <c r="B10" s="17" t="s">
        <v>66</v>
      </c>
      <c r="C10" s="8">
        <v>270.0</v>
      </c>
      <c r="D10" s="8" t="s">
        <v>67</v>
      </c>
      <c r="E10" s="18">
        <v>470.0</v>
      </c>
      <c r="F10" s="8">
        <v>2.0</v>
      </c>
      <c r="H10" s="8">
        <v>4.0</v>
      </c>
      <c r="I10" s="19">
        <v>9.0</v>
      </c>
      <c r="M10" s="25"/>
      <c r="O10" s="25"/>
    </row>
    <row r="11" ht="22.5" customHeight="1">
      <c r="A11" s="16" t="str">
        <f>IFNA(VLOOKUP(B11,Sprites!$A$2:$B$1200,2,FALSE),"")</f>
        <v/>
      </c>
      <c r="B11" s="17" t="s">
        <v>68</v>
      </c>
      <c r="C11" s="8">
        <v>315.0</v>
      </c>
      <c r="D11" s="8" t="s">
        <v>69</v>
      </c>
      <c r="E11" s="18">
        <v>495.0</v>
      </c>
      <c r="F11" s="8">
        <v>7.0</v>
      </c>
      <c r="H11" s="8">
        <v>4.0</v>
      </c>
      <c r="I11" s="19">
        <v>10.0</v>
      </c>
      <c r="M11" s="25"/>
      <c r="O11" s="25"/>
    </row>
    <row r="12" ht="22.5" customHeight="1">
      <c r="A12" s="16" t="str">
        <f>IFNA(VLOOKUP(B12,Sprites!$A$2:$B$1200,2,FALSE),"")</f>
        <v/>
      </c>
      <c r="B12" s="17" t="s">
        <v>70</v>
      </c>
      <c r="C12" s="8">
        <v>305.0</v>
      </c>
      <c r="D12" s="8" t="s">
        <v>69</v>
      </c>
      <c r="E12" s="18">
        <v>495.0</v>
      </c>
      <c r="F12" s="8">
        <v>6.0</v>
      </c>
      <c r="H12" s="8">
        <v>4.0</v>
      </c>
      <c r="I12" s="19">
        <v>11.0</v>
      </c>
      <c r="M12" s="25"/>
      <c r="O12" s="25"/>
    </row>
    <row r="13" ht="22.5" customHeight="1">
      <c r="A13" s="16" t="str">
        <f>IFNA(VLOOKUP(B13,Sprites!$A$2:$B$1200,2,FALSE),"")</f>
        <v/>
      </c>
      <c r="B13" s="17" t="s">
        <v>71</v>
      </c>
      <c r="C13" s="8">
        <v>224.0</v>
      </c>
      <c r="D13" s="8" t="s">
        <v>65</v>
      </c>
      <c r="E13" s="18">
        <v>424.0</v>
      </c>
      <c r="F13" s="8">
        <v>3.0</v>
      </c>
      <c r="H13" s="8">
        <v>3.0</v>
      </c>
      <c r="I13" s="19">
        <v>12.0</v>
      </c>
      <c r="M13" s="25"/>
      <c r="O13" s="25"/>
    </row>
    <row r="14" ht="22.5" customHeight="1">
      <c r="A14" s="16" t="str">
        <f>IFNA(VLOOKUP(B14,Sprites!$A$2:$B$1200,2,FALSE),"")</f>
        <v/>
      </c>
      <c r="B14" s="17" t="s">
        <v>72</v>
      </c>
      <c r="C14" s="8">
        <v>269.0</v>
      </c>
      <c r="D14" s="8" t="s">
        <v>73</v>
      </c>
      <c r="E14" s="18">
        <v>390.0</v>
      </c>
      <c r="F14" s="8">
        <v>4.0</v>
      </c>
      <c r="G14" s="8" t="s">
        <v>28</v>
      </c>
      <c r="H14" s="8">
        <v>3.0</v>
      </c>
      <c r="I14" s="19">
        <v>13.0</v>
      </c>
      <c r="M14" s="25"/>
      <c r="O14" s="25"/>
    </row>
    <row r="15" ht="22.5" customHeight="1">
      <c r="A15" s="16" t="str">
        <f>IFNA(VLOOKUP(B15,Sprites!$A$2:$B$1200,2,FALSE),"")</f>
        <v/>
      </c>
      <c r="B15" s="17" t="s">
        <v>74</v>
      </c>
      <c r="C15" s="8">
        <v>325.0</v>
      </c>
      <c r="D15" s="8" t="s">
        <v>75</v>
      </c>
      <c r="E15" s="18">
        <v>475.0</v>
      </c>
      <c r="F15" s="8">
        <v>6.0</v>
      </c>
      <c r="G15" s="8" t="s">
        <v>24</v>
      </c>
      <c r="H15" s="8">
        <v>3.0</v>
      </c>
      <c r="I15" s="19">
        <v>14.0</v>
      </c>
      <c r="M15" s="25"/>
      <c r="O15" s="25"/>
    </row>
    <row r="16" ht="22.5" customHeight="1">
      <c r="A16" s="16" t="str">
        <f>IFNA(VLOOKUP(B16,Sprites!$A$2:$B$1200,2,FALSE),"")</f>
        <v/>
      </c>
      <c r="B16" s="17" t="s">
        <v>76</v>
      </c>
      <c r="C16" s="8">
        <v>304.0</v>
      </c>
      <c r="D16" s="8" t="s">
        <v>77</v>
      </c>
      <c r="E16" s="18">
        <v>464.0</v>
      </c>
      <c r="F16" s="8">
        <v>3.0</v>
      </c>
      <c r="G16" s="8" t="s">
        <v>37</v>
      </c>
      <c r="H16" s="8">
        <v>3.0</v>
      </c>
      <c r="I16" s="19">
        <v>15.0</v>
      </c>
      <c r="M16" s="25"/>
      <c r="O16" s="25"/>
    </row>
    <row r="17" ht="22.5" customHeight="1">
      <c r="A17" s="16" t="str">
        <f>IFNA(VLOOKUP(B17,Sprites!$A$2:$B$1200,2,FALSE),"")</f>
        <v/>
      </c>
      <c r="B17" s="17" t="s">
        <v>78</v>
      </c>
      <c r="C17" s="8">
        <v>305.0</v>
      </c>
      <c r="D17" s="8" t="s">
        <v>73</v>
      </c>
      <c r="E17" s="18">
        <v>360.0</v>
      </c>
      <c r="F17" s="8">
        <v>3.0</v>
      </c>
      <c r="G17" s="8" t="s">
        <v>28</v>
      </c>
      <c r="H17" s="8">
        <v>3.0</v>
      </c>
      <c r="I17" s="19">
        <v>16.0</v>
      </c>
      <c r="M17" s="25"/>
      <c r="O17" s="25"/>
    </row>
    <row r="18" ht="22.5" customHeight="1">
      <c r="A18" s="16" t="str">
        <f>IFNA(VLOOKUP(B18,Sprites!$A$2:$B$1200,2,FALSE),"")</f>
        <v/>
      </c>
      <c r="B18" s="17" t="s">
        <v>79</v>
      </c>
      <c r="C18" s="8">
        <v>305.0</v>
      </c>
      <c r="D18" s="8" t="s">
        <v>80</v>
      </c>
      <c r="E18" s="18">
        <v>450.0</v>
      </c>
      <c r="F18" s="8">
        <v>6.0</v>
      </c>
      <c r="G18" s="8" t="s">
        <v>28</v>
      </c>
      <c r="H18" s="8">
        <v>3.0</v>
      </c>
      <c r="I18" s="19">
        <v>17.0</v>
      </c>
      <c r="M18" s="25"/>
      <c r="O18" s="25"/>
    </row>
    <row r="19" ht="22.5" customHeight="1">
      <c r="A19" s="16" t="str">
        <f>IFNA(VLOOKUP(B19,Sprites!$A$2:$B$1200,2,FALSE),"")</f>
        <v/>
      </c>
      <c r="B19" s="17" t="s">
        <v>81</v>
      </c>
      <c r="C19" s="8">
        <v>319.0</v>
      </c>
      <c r="D19" s="8" t="s">
        <v>82</v>
      </c>
      <c r="E19" s="18">
        <v>472.0</v>
      </c>
      <c r="F19" s="8">
        <v>6.0</v>
      </c>
      <c r="G19" s="8" t="s">
        <v>31</v>
      </c>
      <c r="H19" s="8">
        <v>2.0</v>
      </c>
      <c r="I19" s="19">
        <v>18.0</v>
      </c>
      <c r="M19" s="25"/>
      <c r="O19" s="25"/>
    </row>
    <row r="20" ht="22.5" customHeight="1">
      <c r="A20" s="16" t="str">
        <f>IFNA(VLOOKUP(B20,Sprites!$A$2:$B$1200,2,FALSE),"")</f>
        <v/>
      </c>
      <c r="B20" s="17" t="s">
        <v>83</v>
      </c>
      <c r="C20" s="8">
        <v>194.0</v>
      </c>
      <c r="D20" s="8" t="s">
        <v>84</v>
      </c>
      <c r="E20" s="18">
        <v>384.0</v>
      </c>
      <c r="F20" s="8">
        <v>0.0</v>
      </c>
      <c r="H20" s="8">
        <v>2.0</v>
      </c>
      <c r="I20" s="19">
        <v>19.0</v>
      </c>
      <c r="M20" s="25"/>
      <c r="O20" s="25"/>
    </row>
    <row r="21" ht="22.5" customHeight="1">
      <c r="A21" s="16" t="str">
        <f>IFNA(VLOOKUP(B21,Sprites!$A$2:$B$1200,2,FALSE),"")</f>
        <v/>
      </c>
      <c r="B21" s="17" t="s">
        <v>85</v>
      </c>
      <c r="C21" s="8">
        <v>180.0</v>
      </c>
      <c r="D21" s="8" t="s">
        <v>84</v>
      </c>
      <c r="E21" s="18">
        <v>335.0</v>
      </c>
      <c r="F21" s="8">
        <v>0.0</v>
      </c>
      <c r="H21" s="8">
        <v>2.0</v>
      </c>
      <c r="I21" s="19">
        <v>20.0</v>
      </c>
      <c r="M21" s="25"/>
      <c r="O21" s="25"/>
    </row>
    <row r="22" ht="22.5" customHeight="1">
      <c r="A22" s="16" t="str">
        <f>IFNA(VLOOKUP(B22,Sprites!$A$2:$B$1200,2,FALSE),"")</f>
        <v/>
      </c>
      <c r="B22" s="17" t="s">
        <v>86</v>
      </c>
      <c r="C22" s="8">
        <v>285.0</v>
      </c>
      <c r="D22" s="8" t="s">
        <v>87</v>
      </c>
      <c r="E22" s="18">
        <v>405.0</v>
      </c>
      <c r="F22" s="8">
        <v>3.0</v>
      </c>
      <c r="G22" s="8" t="s">
        <v>27</v>
      </c>
      <c r="H22" s="8">
        <v>2.0</v>
      </c>
      <c r="I22" s="19">
        <v>21.0</v>
      </c>
      <c r="M22" s="25"/>
      <c r="O22" s="25"/>
    </row>
    <row r="23" ht="22.5" customHeight="1">
      <c r="A23" s="16" t="str">
        <f>IFNA(VLOOKUP(B23,Sprites!$A$2:$B$1200,2,FALSE),"")</f>
        <v/>
      </c>
      <c r="B23" s="17" t="s">
        <v>88</v>
      </c>
      <c r="C23" s="8">
        <v>310.0</v>
      </c>
      <c r="D23" s="8" t="s">
        <v>65</v>
      </c>
      <c r="E23" s="18">
        <v>380.0</v>
      </c>
      <c r="F23" s="8">
        <v>1.0</v>
      </c>
      <c r="G23" s="8" t="s">
        <v>27</v>
      </c>
      <c r="H23" s="8">
        <v>2.0</v>
      </c>
      <c r="I23" s="19">
        <v>22.0</v>
      </c>
      <c r="M23" s="25"/>
      <c r="O23" s="25"/>
    </row>
    <row r="24" ht="22.5" customHeight="1">
      <c r="A24" s="16" t="str">
        <f>IFNA(VLOOKUP(B24,Sprites!$A$2:$B$1200,2,FALSE),"")</f>
        <v/>
      </c>
      <c r="B24" s="17" t="s">
        <v>89</v>
      </c>
      <c r="C24" s="8">
        <v>230.0</v>
      </c>
      <c r="D24" s="8" t="s">
        <v>90</v>
      </c>
      <c r="E24" s="18">
        <v>530.0</v>
      </c>
      <c r="F24" s="8">
        <v>0.0</v>
      </c>
      <c r="G24" s="8" t="s">
        <v>26</v>
      </c>
      <c r="H24" s="8">
        <v>2.0</v>
      </c>
      <c r="I24" s="19">
        <v>23.0</v>
      </c>
      <c r="M24" s="25"/>
      <c r="O24" s="25"/>
    </row>
    <row r="25" ht="22.5" customHeight="1">
      <c r="A25" s="16" t="str">
        <f>IFNA(VLOOKUP(B25,Sprites!$A$2:$B$1200,2,FALSE),"")</f>
        <v/>
      </c>
      <c r="B25" s="17" t="s">
        <v>91</v>
      </c>
      <c r="C25" s="8">
        <v>266.0</v>
      </c>
      <c r="D25" s="8" t="s">
        <v>65</v>
      </c>
      <c r="E25" s="18" t="s">
        <v>92</v>
      </c>
      <c r="F25" s="8">
        <v>2.0</v>
      </c>
      <c r="G25" s="8" t="s">
        <v>38</v>
      </c>
      <c r="H25" s="8">
        <v>2.0</v>
      </c>
      <c r="I25" s="19">
        <v>24.0</v>
      </c>
      <c r="M25" s="25"/>
      <c r="O25" s="25"/>
    </row>
    <row r="26" ht="22.5" customHeight="1">
      <c r="A26" s="16" t="str">
        <f>IFNA(VLOOKUP(B26,Sprites!$A$2:$B$1200,2,FALSE),"")</f>
        <v/>
      </c>
      <c r="B26" s="17" t="s">
        <v>93</v>
      </c>
      <c r="C26" s="8">
        <v>244.0</v>
      </c>
      <c r="D26" s="8" t="s">
        <v>94</v>
      </c>
      <c r="E26" s="18">
        <v>474.0</v>
      </c>
      <c r="F26" s="8">
        <v>0.0</v>
      </c>
      <c r="G26" s="8" t="s">
        <v>32</v>
      </c>
      <c r="H26" s="8">
        <v>2.0</v>
      </c>
      <c r="I26" s="19">
        <v>25.0</v>
      </c>
      <c r="M26" s="25"/>
      <c r="O26" s="25"/>
    </row>
    <row r="27" ht="22.5" customHeight="1">
      <c r="A27" s="16" t="str">
        <f>IFNA(VLOOKUP(B27,Sprites!$A$2:$B$1200,2,FALSE),"")</f>
        <v/>
      </c>
      <c r="B27" s="17" t="s">
        <v>95</v>
      </c>
      <c r="C27" s="8">
        <v>290.0</v>
      </c>
      <c r="D27" s="8" t="s">
        <v>80</v>
      </c>
      <c r="E27" s="18">
        <v>465.0</v>
      </c>
      <c r="F27" s="8">
        <v>7.0</v>
      </c>
      <c r="H27" s="8">
        <v>2.0</v>
      </c>
      <c r="I27" s="19">
        <v>26.0</v>
      </c>
      <c r="M27" s="25"/>
      <c r="O27" s="25"/>
    </row>
    <row r="28" ht="22.5" customHeight="1">
      <c r="A28" s="16" t="str">
        <f>IFNA(VLOOKUP(B28,Sprites!$A$2:$B$1200,2,FALSE),"")</f>
        <v/>
      </c>
      <c r="B28" s="17" t="s">
        <v>96</v>
      </c>
      <c r="C28" s="8">
        <v>210.0</v>
      </c>
      <c r="D28" s="8" t="s">
        <v>87</v>
      </c>
      <c r="E28" s="18">
        <v>450.0</v>
      </c>
      <c r="F28" s="8">
        <v>5.0</v>
      </c>
      <c r="H28" s="8">
        <v>2.0</v>
      </c>
      <c r="I28" s="19">
        <v>27.0</v>
      </c>
      <c r="M28" s="25"/>
      <c r="O28" s="25"/>
    </row>
    <row r="29" ht="22.5" customHeight="1">
      <c r="A29" s="16" t="str">
        <f>IFNA(VLOOKUP(B29,Sprites!$A$2:$B$1200,2,FALSE),"")</f>
        <v/>
      </c>
      <c r="B29" s="17" t="s">
        <v>97</v>
      </c>
      <c r="C29" s="8">
        <v>185.0</v>
      </c>
      <c r="D29" s="8" t="s">
        <v>67</v>
      </c>
      <c r="E29" s="18">
        <v>475.0</v>
      </c>
      <c r="F29" s="8">
        <v>0.0</v>
      </c>
      <c r="G29" s="8" t="s">
        <v>35</v>
      </c>
      <c r="H29" s="8">
        <v>1.0</v>
      </c>
      <c r="I29" s="19">
        <v>28.0</v>
      </c>
      <c r="M29" s="25"/>
      <c r="O29" s="25"/>
    </row>
    <row r="30" ht="22.5" customHeight="1">
      <c r="A30" s="16" t="str">
        <f>IFNA(VLOOKUP(B30,Sprites!$A$2:$B$1200,2,FALSE),"")</f>
        <v/>
      </c>
      <c r="B30" s="17" t="s">
        <v>98</v>
      </c>
      <c r="C30" s="8">
        <v>185.0</v>
      </c>
      <c r="D30" s="8" t="s">
        <v>99</v>
      </c>
      <c r="E30" s="18">
        <v>213.0</v>
      </c>
      <c r="F30" s="8">
        <v>0.0</v>
      </c>
      <c r="H30" s="8">
        <v>1.0</v>
      </c>
      <c r="I30" s="19">
        <v>29.0</v>
      </c>
      <c r="M30" s="25"/>
      <c r="O30" s="25"/>
    </row>
    <row r="31" ht="22.5" customHeight="1">
      <c r="A31" s="16" t="str">
        <f>IFNA(VLOOKUP(B31,Sprites!$A$2:$B$1200,2,FALSE),"")</f>
        <v/>
      </c>
      <c r="B31" s="17" t="s">
        <v>100</v>
      </c>
      <c r="C31" s="8">
        <v>269.0</v>
      </c>
      <c r="D31" s="8" t="s">
        <v>73</v>
      </c>
      <c r="E31" s="18">
        <v>454.0</v>
      </c>
      <c r="F31" s="8">
        <v>3.0</v>
      </c>
      <c r="G31" s="8" t="s">
        <v>26</v>
      </c>
      <c r="H31" s="8">
        <v>1.0</v>
      </c>
      <c r="I31" s="19">
        <v>30.0</v>
      </c>
      <c r="M31" s="25"/>
      <c r="O31" s="25"/>
    </row>
    <row r="32" ht="22.5" customHeight="1">
      <c r="A32" s="16" t="str">
        <f>IFNA(VLOOKUP(B32,Sprites!$A$2:$B$1200,2,FALSE),"")</f>
        <v/>
      </c>
      <c r="B32" s="17" t="s">
        <v>101</v>
      </c>
      <c r="C32" s="8">
        <v>210.0</v>
      </c>
      <c r="D32" s="8" t="s">
        <v>73</v>
      </c>
      <c r="E32" s="18">
        <v>454.0</v>
      </c>
      <c r="F32" s="8">
        <v>4.0</v>
      </c>
      <c r="G32" s="8" t="s">
        <v>26</v>
      </c>
      <c r="H32" s="8">
        <v>1.0</v>
      </c>
      <c r="I32" s="19">
        <v>31.0</v>
      </c>
      <c r="M32" s="25"/>
      <c r="O32" s="25"/>
    </row>
    <row r="33" ht="22.5" customHeight="1">
      <c r="A33" s="16" t="str">
        <f>IFNA(VLOOKUP(B33,Sprites!$A$2:$B$1200,2,FALSE),"")</f>
        <v/>
      </c>
      <c r="B33" s="17" t="s">
        <v>102</v>
      </c>
      <c r="C33" s="8">
        <v>195.0</v>
      </c>
      <c r="D33" s="8" t="s">
        <v>103</v>
      </c>
      <c r="E33" s="18">
        <v>205.0</v>
      </c>
      <c r="F33" s="8">
        <v>1.0</v>
      </c>
      <c r="G33" s="8" t="s">
        <v>28</v>
      </c>
      <c r="H33" s="8">
        <v>1.0</v>
      </c>
      <c r="I33" s="19">
        <v>32.0</v>
      </c>
      <c r="M33" s="25"/>
      <c r="O33" s="25"/>
    </row>
    <row r="34" ht="22.5" customHeight="1">
      <c r="A34" s="16" t="str">
        <f>IFNA(VLOOKUP(B34,Sprites!$A$2:$B$1200,2,FALSE),"")</f>
        <v/>
      </c>
      <c r="B34" s="17" t="s">
        <v>104</v>
      </c>
      <c r="C34" s="8">
        <v>195.0</v>
      </c>
      <c r="D34" s="8" t="s">
        <v>103</v>
      </c>
      <c r="E34" s="18">
        <v>205.0</v>
      </c>
      <c r="F34" s="8">
        <v>0.0</v>
      </c>
      <c r="H34" s="8">
        <v>1.0</v>
      </c>
      <c r="I34" s="19">
        <v>33.0</v>
      </c>
      <c r="M34" s="25"/>
      <c r="O34" s="25"/>
    </row>
    <row r="35" ht="22.5" customHeight="1">
      <c r="A35" s="16" t="str">
        <f>IFNA(VLOOKUP(B35,Sprites!$A$2:$B$1200,2,FALSE),"")</f>
        <v/>
      </c>
      <c r="B35" s="17" t="s">
        <v>105</v>
      </c>
      <c r="C35" s="8">
        <v>195.0</v>
      </c>
      <c r="D35" s="8" t="s">
        <v>103</v>
      </c>
      <c r="E35" s="18">
        <v>205.0</v>
      </c>
      <c r="F35" s="8">
        <v>0.0</v>
      </c>
      <c r="H35" s="8">
        <v>1.0</v>
      </c>
      <c r="I35" s="19">
        <v>34.0</v>
      </c>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29" t="s">
        <v>106</v>
      </c>
      <c r="B1" s="30" t="s">
        <v>41</v>
      </c>
      <c r="C1" s="30" t="s">
        <v>42</v>
      </c>
      <c r="D1" s="30" t="s">
        <v>43</v>
      </c>
      <c r="E1" s="30" t="s">
        <v>44</v>
      </c>
      <c r="F1" s="30" t="s">
        <v>45</v>
      </c>
      <c r="G1" s="30" t="s">
        <v>46</v>
      </c>
      <c r="H1" s="30" t="s">
        <v>47</v>
      </c>
      <c r="I1" s="31" t="s">
        <v>48</v>
      </c>
      <c r="J1" s="14" t="s">
        <v>49</v>
      </c>
      <c r="K1" s="15">
        <v>23.0</v>
      </c>
    </row>
    <row r="2" ht="22.5" customHeight="1">
      <c r="A2" s="16" t="str">
        <f>IFNA(VLOOKUP(B2,Sprites!$A$2:$B$1200,2,FALSE),"")</f>
        <v/>
      </c>
      <c r="B2" s="17" t="s">
        <v>107</v>
      </c>
      <c r="C2" s="8">
        <v>440.0</v>
      </c>
      <c r="D2" s="8" t="s">
        <v>55</v>
      </c>
      <c r="E2" s="8">
        <v>510.0</v>
      </c>
      <c r="F2" s="8">
        <v>5.0</v>
      </c>
      <c r="G2" s="8" t="s">
        <v>28</v>
      </c>
      <c r="H2" s="8">
        <v>9.0</v>
      </c>
      <c r="I2" s="19">
        <v>1.0</v>
      </c>
      <c r="J2" s="14" t="s">
        <v>19</v>
      </c>
      <c r="K2" s="20">
        <f>SUM(C2:C999)/K1</f>
        <v>319.3913043</v>
      </c>
    </row>
    <row r="3" ht="22.5" customHeight="1">
      <c r="A3" s="16" t="str">
        <f>IFNA(VLOOKUP(B3,Sprites!$A$2:$B$1200,2,FALSE),"")</f>
        <v/>
      </c>
      <c r="B3" s="17" t="s">
        <v>108</v>
      </c>
      <c r="C3" s="8">
        <v>430.0</v>
      </c>
      <c r="D3" s="8" t="s">
        <v>69</v>
      </c>
      <c r="E3" s="8">
        <v>510.0</v>
      </c>
      <c r="F3" s="8">
        <v>7.0</v>
      </c>
      <c r="G3" s="8" t="s">
        <v>35</v>
      </c>
      <c r="H3" s="8">
        <v>7.0</v>
      </c>
      <c r="I3" s="19">
        <v>2.0</v>
      </c>
      <c r="J3" s="14" t="s">
        <v>20</v>
      </c>
      <c r="K3" s="20">
        <f>SUM(H2:H999)/K1</f>
        <v>5.043478261</v>
      </c>
    </row>
    <row r="4" ht="22.5" customHeight="1">
      <c r="A4" s="16" t="str">
        <f>IFNA(VLOOKUP(B4,Sprites!$A$2:$B$1200,2,FALSE),"")</f>
        <v/>
      </c>
      <c r="B4" s="17" t="s">
        <v>109</v>
      </c>
      <c r="C4" s="8">
        <v>330.0</v>
      </c>
      <c r="D4" s="8" t="s">
        <v>90</v>
      </c>
      <c r="E4" s="8">
        <v>510.0</v>
      </c>
      <c r="F4" s="8">
        <v>5.0</v>
      </c>
      <c r="H4" s="8">
        <v>7.0</v>
      </c>
      <c r="I4" s="19">
        <v>3.0</v>
      </c>
      <c r="J4" s="14" t="s">
        <v>56</v>
      </c>
      <c r="K4" s="21">
        <f>COUNTIF(D2:D999, "Roguestone")</f>
        <v>2</v>
      </c>
    </row>
    <row r="5" ht="22.5" customHeight="1">
      <c r="A5" s="16" t="str">
        <f>IFNA(VLOOKUP(B5,Sprites!$A$2:$B$1200,2,FALSE),"")</f>
        <v/>
      </c>
      <c r="B5" s="17" t="s">
        <v>110</v>
      </c>
      <c r="C5" s="8">
        <v>405.0</v>
      </c>
      <c r="D5" s="8" t="s">
        <v>69</v>
      </c>
      <c r="E5" s="8">
        <v>505.0</v>
      </c>
      <c r="F5" s="8">
        <v>7.0</v>
      </c>
      <c r="G5" s="8" t="s">
        <v>32</v>
      </c>
      <c r="H5" s="8">
        <v>7.0</v>
      </c>
      <c r="I5" s="19">
        <v>4.0</v>
      </c>
      <c r="J5" s="14" t="s">
        <v>58</v>
      </c>
      <c r="K5" s="22">
        <f>K4/K1</f>
        <v>0.08695652174</v>
      </c>
    </row>
    <row r="6" ht="22.5" customHeight="1">
      <c r="A6" s="16" t="str">
        <f>IFNA(VLOOKUP(B6,Sprites!$A$2:$B$1200,2,FALSE),"")</f>
        <v/>
      </c>
      <c r="B6" s="17" t="s">
        <v>111</v>
      </c>
      <c r="C6" s="8">
        <v>330.0</v>
      </c>
      <c r="D6" s="8" t="s">
        <v>87</v>
      </c>
      <c r="E6" s="8">
        <v>500.0</v>
      </c>
      <c r="F6" s="8">
        <v>3.0</v>
      </c>
      <c r="G6" s="8" t="s">
        <v>22</v>
      </c>
      <c r="H6" s="8">
        <v>7.0</v>
      </c>
      <c r="I6" s="19">
        <v>5.0</v>
      </c>
    </row>
    <row r="7" ht="22.5" customHeight="1">
      <c r="A7" s="16" t="str">
        <f>IFNA(VLOOKUP(B7,Sprites!$A$2:$B$1200,2,FALSE),"")</f>
        <v/>
      </c>
      <c r="B7" s="17" t="s">
        <v>112</v>
      </c>
      <c r="C7" s="8">
        <v>380.0</v>
      </c>
      <c r="D7" s="8" t="s">
        <v>113</v>
      </c>
      <c r="E7" s="8">
        <v>480.0</v>
      </c>
      <c r="F7" s="8">
        <v>14.0</v>
      </c>
      <c r="G7" s="8" t="s">
        <v>29</v>
      </c>
      <c r="H7" s="8">
        <v>6.0</v>
      </c>
      <c r="I7" s="19">
        <v>6.0</v>
      </c>
    </row>
    <row r="8" ht="22.5" customHeight="1">
      <c r="A8" s="16" t="str">
        <f>IFNA(VLOOKUP(B8,Sprites!$A$2:$B$1200,2,FALSE),"")</f>
        <v/>
      </c>
      <c r="B8" s="17" t="s">
        <v>114</v>
      </c>
      <c r="C8" s="8">
        <v>370.0</v>
      </c>
      <c r="D8" s="8" t="s">
        <v>115</v>
      </c>
      <c r="E8" s="8">
        <v>510.0</v>
      </c>
      <c r="F8" s="8">
        <v>6.0</v>
      </c>
      <c r="G8" s="8" t="s">
        <v>32</v>
      </c>
      <c r="H8" s="8">
        <v>6.0</v>
      </c>
      <c r="I8" s="19">
        <v>7.0</v>
      </c>
    </row>
    <row r="9" ht="22.5" customHeight="1">
      <c r="A9" s="16" t="str">
        <f>IFNA(VLOOKUP(B9,Sprites!$A$2:$B$1200,2,FALSE),"")</f>
        <v/>
      </c>
      <c r="B9" s="17" t="s">
        <v>116</v>
      </c>
      <c r="C9" s="8">
        <v>300.0</v>
      </c>
      <c r="D9" s="8" t="s">
        <v>117</v>
      </c>
      <c r="E9" s="8">
        <v>420.0</v>
      </c>
      <c r="F9" s="8">
        <v>6.0</v>
      </c>
      <c r="G9" s="8" t="s">
        <v>23</v>
      </c>
      <c r="H9" s="8">
        <v>6.0</v>
      </c>
      <c r="I9" s="19">
        <v>8.0</v>
      </c>
    </row>
    <row r="10" ht="22.5" customHeight="1">
      <c r="A10" s="16" t="str">
        <f>IFNA(VLOOKUP(B10,Sprites!$A$2:$B$1200,2,FALSE),"")</f>
        <v/>
      </c>
      <c r="B10" s="17" t="s">
        <v>118</v>
      </c>
      <c r="C10" s="8">
        <v>340.0</v>
      </c>
      <c r="D10" s="8" t="s">
        <v>90</v>
      </c>
      <c r="E10" s="8">
        <v>505.0</v>
      </c>
      <c r="F10" s="8">
        <v>5.0</v>
      </c>
      <c r="H10" s="8">
        <v>6.0</v>
      </c>
      <c r="I10" s="19">
        <v>9.0</v>
      </c>
    </row>
    <row r="11" ht="22.5" customHeight="1">
      <c r="A11" s="16" t="str">
        <f>IFNA(VLOOKUP(B11,Sprites!$A$2:$B$1200,2,FALSE),"")</f>
        <v/>
      </c>
      <c r="B11" s="17" t="s">
        <v>119</v>
      </c>
      <c r="C11" s="8">
        <v>325.0</v>
      </c>
      <c r="D11" s="8" t="s">
        <v>120</v>
      </c>
      <c r="E11" s="8">
        <v>500.0</v>
      </c>
      <c r="F11" s="8">
        <v>8.0</v>
      </c>
      <c r="G11" s="8" t="s">
        <v>28</v>
      </c>
      <c r="H11" s="8">
        <v>5.0</v>
      </c>
      <c r="I11" s="19">
        <v>10.0</v>
      </c>
    </row>
    <row r="12" ht="22.5" customHeight="1">
      <c r="A12" s="16" t="str">
        <f>IFNA(VLOOKUP(B12,Sprites!$A$2:$B$1200,2,FALSE),"")</f>
        <v/>
      </c>
      <c r="B12" s="17" t="s">
        <v>121</v>
      </c>
      <c r="C12" s="8">
        <v>329.0</v>
      </c>
      <c r="D12" s="8" t="s">
        <v>75</v>
      </c>
      <c r="E12" s="8">
        <v>479.0</v>
      </c>
      <c r="F12" s="8">
        <v>9.0</v>
      </c>
      <c r="G12" s="8" t="s">
        <v>28</v>
      </c>
      <c r="H12" s="8">
        <v>5.0</v>
      </c>
      <c r="I12" s="19">
        <v>11.0</v>
      </c>
    </row>
    <row r="13" ht="22.5" customHeight="1">
      <c r="A13" s="16" t="str">
        <f>IFNA(VLOOKUP(B13,Sprites!$A$2:$B$1200,2,FALSE),"")</f>
        <v/>
      </c>
      <c r="B13" s="17" t="s">
        <v>122</v>
      </c>
      <c r="C13" s="8">
        <v>253.0</v>
      </c>
      <c r="D13" s="8" t="s">
        <v>65</v>
      </c>
      <c r="E13" s="8">
        <v>413.0</v>
      </c>
      <c r="F13" s="8">
        <v>4.0</v>
      </c>
      <c r="G13" s="8" t="s">
        <v>33</v>
      </c>
      <c r="H13" s="8">
        <v>5.0</v>
      </c>
      <c r="I13" s="19">
        <v>12.0</v>
      </c>
    </row>
    <row r="14" ht="22.5" customHeight="1">
      <c r="A14" s="16" t="str">
        <f>IFNA(VLOOKUP(B14,Sprites!$A$2:$B$1200,2,FALSE),"")</f>
        <v/>
      </c>
      <c r="B14" s="17" t="s">
        <v>123</v>
      </c>
      <c r="C14" s="8">
        <v>220.0</v>
      </c>
      <c r="D14" s="8" t="s">
        <v>61</v>
      </c>
      <c r="E14" s="8">
        <v>420.0</v>
      </c>
      <c r="F14" s="8">
        <v>3.0</v>
      </c>
      <c r="H14" s="8">
        <v>5.0</v>
      </c>
      <c r="I14" s="19">
        <v>13.0</v>
      </c>
    </row>
    <row r="15" ht="22.5" customHeight="1">
      <c r="A15" s="16" t="str">
        <f>IFNA(VLOOKUP(B15,Sprites!$A$2:$B$1200,2,FALSE),"")</f>
        <v/>
      </c>
      <c r="B15" s="17" t="s">
        <v>124</v>
      </c>
      <c r="C15" s="8">
        <v>240.0</v>
      </c>
      <c r="D15" s="8" t="s">
        <v>65</v>
      </c>
      <c r="E15" s="8">
        <v>420.0</v>
      </c>
      <c r="F15" s="8">
        <v>4.0</v>
      </c>
      <c r="G15" s="8" t="s">
        <v>33</v>
      </c>
      <c r="H15" s="8">
        <v>4.0</v>
      </c>
      <c r="I15" s="19">
        <v>14.0</v>
      </c>
    </row>
    <row r="16" ht="22.5" customHeight="1">
      <c r="A16" s="16" t="str">
        <f>IFNA(VLOOKUP(B16,Sprites!$A$2:$B$1200,2,FALSE),"")</f>
        <v/>
      </c>
      <c r="B16" s="17" t="s">
        <v>125</v>
      </c>
      <c r="C16" s="8">
        <v>290.0</v>
      </c>
      <c r="D16" s="8" t="s">
        <v>67</v>
      </c>
      <c r="E16" s="8">
        <v>440.0</v>
      </c>
      <c r="F16" s="8">
        <v>3.0</v>
      </c>
      <c r="H16" s="8">
        <v>4.0</v>
      </c>
      <c r="I16" s="19">
        <v>15.0</v>
      </c>
    </row>
    <row r="17" ht="22.5" customHeight="1">
      <c r="A17" s="16" t="str">
        <f>IFNA(VLOOKUP(B17,Sprites!$A$2:$B$1200,2,FALSE),"")</f>
        <v/>
      </c>
      <c r="B17" s="17" t="s">
        <v>126</v>
      </c>
      <c r="C17" s="8">
        <v>340.0</v>
      </c>
      <c r="D17" s="8" t="s">
        <v>90</v>
      </c>
      <c r="E17" s="8">
        <v>490.0</v>
      </c>
      <c r="F17" s="8">
        <v>5.0</v>
      </c>
      <c r="G17" s="8" t="s">
        <v>36</v>
      </c>
      <c r="H17" s="8">
        <v>4.0</v>
      </c>
      <c r="I17" s="19">
        <v>16.0</v>
      </c>
    </row>
    <row r="18" ht="22.5" customHeight="1">
      <c r="A18" s="16" t="str">
        <f>IFNA(VLOOKUP(B18,Sprites!$A$2:$B$1200,2,FALSE),"")</f>
        <v/>
      </c>
      <c r="B18" s="17" t="s">
        <v>127</v>
      </c>
      <c r="C18" s="8">
        <v>245.0</v>
      </c>
      <c r="D18" s="8" t="s">
        <v>61</v>
      </c>
      <c r="E18" s="8">
        <v>455.0</v>
      </c>
      <c r="F18" s="8">
        <v>2.0</v>
      </c>
      <c r="H18" s="8">
        <v>4.0</v>
      </c>
      <c r="I18" s="19">
        <v>17.0</v>
      </c>
    </row>
    <row r="19" ht="22.5" customHeight="1">
      <c r="A19" s="16" t="str">
        <f>IFNA(VLOOKUP(B19,Sprites!$A$2:$B$1200,2,FALSE),"")</f>
        <v/>
      </c>
      <c r="B19" s="17" t="s">
        <v>128</v>
      </c>
      <c r="C19" s="8">
        <v>288.0</v>
      </c>
      <c r="D19" s="8" t="s">
        <v>90</v>
      </c>
      <c r="E19" s="8">
        <v>482.0</v>
      </c>
      <c r="F19" s="8">
        <v>7.0</v>
      </c>
      <c r="G19" s="8" t="s">
        <v>34</v>
      </c>
      <c r="H19" s="8">
        <v>4.0</v>
      </c>
      <c r="I19" s="19">
        <v>18.0</v>
      </c>
    </row>
    <row r="20" ht="22.5" customHeight="1">
      <c r="A20" s="16" t="str">
        <f>IFNA(VLOOKUP(B20,Sprites!$A$2:$B$1200,2,FALSE),"")</f>
        <v/>
      </c>
      <c r="B20" s="17" t="s">
        <v>129</v>
      </c>
      <c r="C20" s="8">
        <v>305.0</v>
      </c>
      <c r="D20" s="8" t="s">
        <v>90</v>
      </c>
      <c r="E20" s="8">
        <v>460.0</v>
      </c>
      <c r="F20" s="8">
        <v>5.0</v>
      </c>
      <c r="G20" s="8" t="s">
        <v>26</v>
      </c>
      <c r="H20" s="8">
        <v>4.0</v>
      </c>
      <c r="I20" s="19">
        <v>19.0</v>
      </c>
    </row>
    <row r="21" ht="22.5" customHeight="1">
      <c r="A21" s="16" t="str">
        <f>IFNA(VLOOKUP(B21,Sprites!$A$2:$B$1200,2,FALSE),"")</f>
        <v/>
      </c>
      <c r="B21" s="17" t="s">
        <v>130</v>
      </c>
      <c r="C21" s="8">
        <v>265.0</v>
      </c>
      <c r="D21" s="8" t="s">
        <v>131</v>
      </c>
      <c r="E21" s="8">
        <v>370.0</v>
      </c>
      <c r="F21" s="8">
        <v>5.0</v>
      </c>
      <c r="G21" s="8" t="s">
        <v>37</v>
      </c>
      <c r="H21" s="8">
        <v>3.0</v>
      </c>
      <c r="I21" s="19">
        <v>20.0</v>
      </c>
    </row>
    <row r="22" ht="22.5" customHeight="1">
      <c r="A22" s="16" t="str">
        <f>IFNA(VLOOKUP(B22,Sprites!$A$2:$B$1200,2,FALSE),"")</f>
        <v/>
      </c>
      <c r="B22" s="17" t="s">
        <v>132</v>
      </c>
      <c r="C22" s="8">
        <v>348.0</v>
      </c>
      <c r="D22" s="8" t="s">
        <v>133</v>
      </c>
      <c r="E22" s="8">
        <v>488.0</v>
      </c>
      <c r="F22" s="8">
        <v>7.0</v>
      </c>
      <c r="G22" s="8" t="s">
        <v>30</v>
      </c>
      <c r="H22" s="8">
        <v>3.0</v>
      </c>
      <c r="I22" s="19">
        <v>21.0</v>
      </c>
    </row>
    <row r="23" ht="22.5" customHeight="1">
      <c r="A23" s="16" t="str">
        <f>IFNA(VLOOKUP(B23,Sprites!$A$2:$B$1200,2,FALSE),"")</f>
        <v/>
      </c>
      <c r="B23" s="17" t="s">
        <v>134</v>
      </c>
      <c r="C23" s="8">
        <v>292.0</v>
      </c>
      <c r="D23" s="8" t="s">
        <v>135</v>
      </c>
      <c r="E23" s="8">
        <v>351.0</v>
      </c>
      <c r="F23" s="8">
        <v>7.0</v>
      </c>
      <c r="G23" s="8" t="s">
        <v>38</v>
      </c>
      <c r="H23" s="8">
        <v>3.0</v>
      </c>
      <c r="I23" s="19">
        <v>22.0</v>
      </c>
    </row>
    <row r="24" ht="22.5" customHeight="1">
      <c r="A24" s="16" t="str">
        <f>IFNA(VLOOKUP(B24,Sprites!$A$2:$B$1200,2,FALSE),"")</f>
        <v/>
      </c>
      <c r="B24" s="17" t="s">
        <v>136</v>
      </c>
      <c r="C24" s="8">
        <v>281.0</v>
      </c>
      <c r="D24" s="8" t="s">
        <v>65</v>
      </c>
      <c r="E24" s="8">
        <v>446.0</v>
      </c>
      <c r="F24" s="8">
        <v>2.0</v>
      </c>
      <c r="H24" s="8">
        <v>2.0</v>
      </c>
      <c r="I24" s="19">
        <v>23.0</v>
      </c>
    </row>
    <row r="25">
      <c r="A25" s="32"/>
      <c r="B25" s="14"/>
      <c r="I25" s="14"/>
    </row>
    <row r="26">
      <c r="A26" s="32"/>
      <c r="B26" s="23" t="s">
        <v>137</v>
      </c>
      <c r="C26" s="23" t="s">
        <v>138</v>
      </c>
    </row>
    <row r="27">
      <c r="A27" s="32"/>
      <c r="B27" s="33">
        <v>46001.0</v>
      </c>
      <c r="C27" s="34" t="s">
        <v>139</v>
      </c>
    </row>
    <row r="28">
      <c r="A28" s="32"/>
    </row>
    <row r="29">
      <c r="A29" s="32"/>
      <c r="B29" s="35">
        <v>46001.0</v>
      </c>
      <c r="C29" s="15" t="s">
        <v>140</v>
      </c>
    </row>
    <row r="30">
      <c r="A30" s="32"/>
      <c r="B30" s="23"/>
      <c r="I30" s="14"/>
    </row>
    <row r="31">
      <c r="A31" s="32"/>
      <c r="B31" s="23"/>
      <c r="I31" s="14"/>
    </row>
    <row r="32">
      <c r="A32" s="32"/>
      <c r="B32" s="23"/>
      <c r="I32" s="14"/>
    </row>
    <row r="33">
      <c r="A33" s="32"/>
      <c r="B33" s="23"/>
      <c r="I33" s="14"/>
    </row>
    <row r="34">
      <c r="A34" s="32"/>
      <c r="B34" s="23"/>
      <c r="I34" s="14"/>
    </row>
    <row r="35">
      <c r="A35" s="32"/>
      <c r="B35" s="23"/>
      <c r="I35" s="14"/>
    </row>
    <row r="36">
      <c r="A36" s="32"/>
      <c r="B36" s="23"/>
      <c r="I36" s="14"/>
    </row>
    <row r="37">
      <c r="A37" s="32"/>
      <c r="B37" s="23"/>
      <c r="I37" s="14"/>
    </row>
    <row r="38">
      <c r="A38" s="32"/>
      <c r="B38" s="23"/>
      <c r="I38" s="14"/>
    </row>
    <row r="39">
      <c r="A39" s="32"/>
      <c r="B39" s="23"/>
      <c r="I39" s="14"/>
    </row>
    <row r="40">
      <c r="A40" s="32"/>
      <c r="B40" s="23"/>
      <c r="I40" s="14"/>
    </row>
    <row r="41">
      <c r="A41" s="32"/>
      <c r="B41" s="23"/>
      <c r="I41" s="14"/>
    </row>
    <row r="42">
      <c r="A42" s="32"/>
      <c r="B42" s="23"/>
      <c r="I42" s="14"/>
    </row>
    <row r="43">
      <c r="A43" s="32"/>
      <c r="B43" s="23"/>
      <c r="I43" s="14"/>
    </row>
    <row r="44">
      <c r="A44" s="32"/>
      <c r="B44" s="23"/>
      <c r="I44" s="14"/>
    </row>
    <row r="45">
      <c r="A45" s="32"/>
      <c r="B45" s="23"/>
      <c r="I45" s="14"/>
    </row>
    <row r="46">
      <c r="A46" s="32"/>
      <c r="B46" s="14"/>
      <c r="I46" s="14"/>
    </row>
    <row r="47">
      <c r="A47" s="32"/>
      <c r="B47" s="14"/>
      <c r="I47" s="14"/>
    </row>
    <row r="48">
      <c r="A48" s="32"/>
      <c r="B48" s="14"/>
      <c r="I48" s="14"/>
    </row>
    <row r="49">
      <c r="A49" s="32"/>
      <c r="B49" s="14"/>
      <c r="I49" s="14"/>
    </row>
    <row r="50">
      <c r="A50" s="32"/>
      <c r="B50" s="14"/>
      <c r="I50" s="14"/>
    </row>
    <row r="51">
      <c r="A51" s="32"/>
      <c r="B51" s="14"/>
      <c r="I51" s="14"/>
    </row>
    <row r="52">
      <c r="A52" s="32"/>
      <c r="B52" s="14"/>
      <c r="I52" s="14"/>
    </row>
    <row r="53">
      <c r="A53" s="32"/>
      <c r="B53" s="14"/>
      <c r="I53" s="14"/>
    </row>
    <row r="54">
      <c r="A54" s="32"/>
      <c r="B54" s="14"/>
      <c r="I54" s="14"/>
    </row>
    <row r="55">
      <c r="A55" s="32"/>
      <c r="B55" s="14"/>
      <c r="I55" s="14"/>
    </row>
    <row r="56">
      <c r="A56" s="32"/>
      <c r="B56" s="14"/>
      <c r="I56" s="14"/>
    </row>
    <row r="57">
      <c r="A57" s="32"/>
      <c r="B57" s="14"/>
      <c r="I57" s="14"/>
    </row>
    <row r="58">
      <c r="A58" s="26"/>
      <c r="B58" s="27"/>
      <c r="I58" s="27"/>
    </row>
    <row r="59">
      <c r="A59" s="26"/>
      <c r="B59" s="27"/>
      <c r="I59" s="27"/>
    </row>
    <row r="60">
      <c r="A60" s="26"/>
      <c r="B60" s="27"/>
      <c r="I60" s="27"/>
    </row>
    <row r="61">
      <c r="A61" s="26"/>
      <c r="B61" s="27"/>
      <c r="I61" s="27"/>
    </row>
    <row r="62">
      <c r="A62" s="26"/>
      <c r="B62" s="27"/>
      <c r="I62" s="27"/>
    </row>
    <row r="63">
      <c r="A63" s="26"/>
      <c r="B63" s="27"/>
      <c r="I63" s="27"/>
    </row>
    <row r="64">
      <c r="A64" s="26"/>
      <c r="B64" s="27"/>
      <c r="I64" s="27"/>
    </row>
    <row r="65">
      <c r="A65" s="26"/>
      <c r="B65" s="27"/>
      <c r="I65" s="27"/>
    </row>
    <row r="66">
      <c r="A66" s="26"/>
      <c r="B66" s="27"/>
      <c r="I66" s="27"/>
    </row>
    <row r="67">
      <c r="A67" s="26"/>
      <c r="B67" s="27"/>
      <c r="I67" s="27"/>
    </row>
    <row r="68">
      <c r="A68" s="26"/>
      <c r="B68" s="27"/>
      <c r="I68" s="27"/>
    </row>
    <row r="69">
      <c r="A69" s="26"/>
      <c r="B69" s="27"/>
      <c r="I69" s="27"/>
    </row>
    <row r="70">
      <c r="A70" s="26"/>
      <c r="B70" s="27"/>
      <c r="I70" s="27"/>
    </row>
    <row r="71">
      <c r="A71" s="26"/>
      <c r="B71" s="27"/>
      <c r="I71" s="27"/>
    </row>
    <row r="72">
      <c r="A72" s="26"/>
      <c r="B72" s="27"/>
      <c r="I72" s="27"/>
    </row>
    <row r="73">
      <c r="A73" s="26"/>
      <c r="B73" s="27"/>
      <c r="I73" s="27"/>
    </row>
    <row r="74">
      <c r="A74" s="26"/>
      <c r="B74" s="27"/>
      <c r="I74" s="27"/>
    </row>
    <row r="75">
      <c r="A75" s="26"/>
      <c r="B75" s="27"/>
      <c r="I75" s="27"/>
    </row>
    <row r="76">
      <c r="A76" s="26"/>
      <c r="B76" s="27"/>
      <c r="I76" s="27"/>
    </row>
    <row r="77">
      <c r="A77" s="26"/>
      <c r="B77" s="27"/>
      <c r="I77" s="27"/>
    </row>
    <row r="78">
      <c r="A78" s="26"/>
      <c r="B78" s="27"/>
      <c r="I78" s="27"/>
    </row>
    <row r="79">
      <c r="A79" s="26"/>
      <c r="B79" s="27"/>
      <c r="I79" s="27"/>
    </row>
    <row r="80">
      <c r="A80" s="26"/>
      <c r="B80" s="27"/>
      <c r="I80" s="27"/>
    </row>
    <row r="81">
      <c r="A81" s="26"/>
      <c r="B81" s="27"/>
      <c r="I81" s="27"/>
    </row>
    <row r="82">
      <c r="A82" s="26"/>
      <c r="B82" s="27"/>
      <c r="I82" s="27"/>
    </row>
    <row r="83">
      <c r="A83" s="26"/>
      <c r="B83" s="27"/>
      <c r="I83" s="27"/>
    </row>
    <row r="84">
      <c r="A84" s="26"/>
      <c r="B84" s="27"/>
      <c r="I84" s="27"/>
    </row>
    <row r="85">
      <c r="A85" s="26"/>
      <c r="B85" s="27"/>
      <c r="I85" s="27"/>
    </row>
    <row r="86">
      <c r="A86" s="26"/>
      <c r="B86" s="27"/>
      <c r="I86" s="27"/>
    </row>
    <row r="87">
      <c r="A87" s="26"/>
      <c r="B87" s="27"/>
      <c r="I87" s="27"/>
    </row>
    <row r="88">
      <c r="A88" s="26"/>
      <c r="B88" s="27"/>
      <c r="I88" s="27"/>
    </row>
    <row r="89">
      <c r="A89" s="26"/>
      <c r="B89" s="27"/>
      <c r="I89" s="27"/>
    </row>
    <row r="90">
      <c r="A90" s="26"/>
      <c r="B90" s="27"/>
      <c r="I90" s="27"/>
    </row>
    <row r="91">
      <c r="A91" s="26"/>
      <c r="B91" s="27"/>
      <c r="I91" s="27"/>
    </row>
    <row r="92">
      <c r="A92" s="26"/>
      <c r="B92" s="27"/>
      <c r="I92" s="27"/>
    </row>
    <row r="93">
      <c r="A93" s="26"/>
      <c r="B93" s="27"/>
      <c r="I93" s="27"/>
    </row>
    <row r="94">
      <c r="A94" s="26"/>
      <c r="B94" s="27"/>
      <c r="I94" s="27"/>
    </row>
    <row r="95">
      <c r="A95" s="26"/>
      <c r="B95" s="27"/>
      <c r="I95" s="27"/>
    </row>
    <row r="96">
      <c r="A96" s="26"/>
      <c r="B96" s="27"/>
      <c r="I96" s="27"/>
    </row>
    <row r="97">
      <c r="A97" s="26"/>
      <c r="B97" s="27"/>
      <c r="I97" s="27"/>
    </row>
    <row r="98">
      <c r="A98" s="26"/>
      <c r="B98" s="27"/>
      <c r="I98" s="27"/>
    </row>
    <row r="99">
      <c r="A99" s="26"/>
      <c r="B99" s="27"/>
      <c r="I99" s="27"/>
    </row>
    <row r="100">
      <c r="A100" s="26"/>
      <c r="B100" s="27"/>
      <c r="I100" s="27"/>
    </row>
    <row r="101">
      <c r="A101" s="26"/>
      <c r="B101" s="27"/>
      <c r="I101" s="27"/>
    </row>
    <row r="102">
      <c r="A102" s="26"/>
      <c r="B102" s="27"/>
      <c r="I102" s="27"/>
    </row>
    <row r="103">
      <c r="A103" s="26"/>
      <c r="B103" s="27"/>
      <c r="I103" s="27"/>
    </row>
    <row r="104">
      <c r="A104" s="26"/>
      <c r="B104" s="27"/>
      <c r="I104" s="27"/>
    </row>
    <row r="105">
      <c r="A105" s="26"/>
      <c r="B105" s="27"/>
      <c r="I105" s="27"/>
    </row>
    <row r="106">
      <c r="A106" s="26"/>
      <c r="B106" s="27"/>
      <c r="I106" s="27"/>
    </row>
    <row r="107">
      <c r="A107" s="26"/>
      <c r="B107" s="27"/>
      <c r="I107" s="27"/>
    </row>
    <row r="108">
      <c r="A108" s="26"/>
      <c r="B108" s="27"/>
      <c r="I108" s="27"/>
    </row>
    <row r="109">
      <c r="A109" s="26"/>
      <c r="B109" s="27"/>
      <c r="I109" s="27"/>
    </row>
    <row r="110">
      <c r="A110" s="26"/>
      <c r="B110" s="27"/>
      <c r="I110" s="27"/>
    </row>
    <row r="111">
      <c r="A111" s="26"/>
      <c r="B111" s="27"/>
      <c r="I111" s="27"/>
    </row>
    <row r="112">
      <c r="A112" s="26"/>
      <c r="B112" s="27"/>
      <c r="I112" s="27"/>
    </row>
    <row r="113">
      <c r="A113" s="26"/>
      <c r="B113" s="27"/>
      <c r="I113" s="27"/>
    </row>
    <row r="114">
      <c r="A114" s="26"/>
      <c r="B114" s="27"/>
      <c r="I114" s="27"/>
    </row>
    <row r="115">
      <c r="A115" s="26"/>
      <c r="B115" s="27"/>
      <c r="I115" s="27"/>
    </row>
    <row r="116">
      <c r="A116" s="26"/>
      <c r="B116" s="27"/>
      <c r="I116" s="27"/>
    </row>
    <row r="117">
      <c r="A117" s="26"/>
      <c r="B117" s="27"/>
      <c r="I117" s="27"/>
    </row>
    <row r="118">
      <c r="A118" s="26"/>
      <c r="B118" s="27"/>
      <c r="I118" s="27"/>
    </row>
    <row r="119">
      <c r="A119" s="26"/>
      <c r="B119" s="27"/>
      <c r="I119" s="27"/>
    </row>
    <row r="120">
      <c r="A120" s="26"/>
      <c r="B120" s="27"/>
      <c r="I120" s="27"/>
    </row>
    <row r="121">
      <c r="A121" s="26"/>
      <c r="B121" s="27"/>
      <c r="I121" s="27"/>
    </row>
    <row r="122">
      <c r="A122" s="26"/>
      <c r="B122" s="27"/>
      <c r="I122" s="27"/>
    </row>
    <row r="123">
      <c r="A123" s="26"/>
      <c r="B123" s="27"/>
      <c r="I123" s="27"/>
    </row>
    <row r="124">
      <c r="A124" s="26"/>
      <c r="B124" s="27"/>
      <c r="I124" s="27"/>
    </row>
    <row r="125">
      <c r="A125" s="26"/>
      <c r="B125" s="27"/>
      <c r="I125" s="27"/>
    </row>
    <row r="126">
      <c r="A126" s="26"/>
      <c r="B126" s="27"/>
      <c r="I126" s="27"/>
    </row>
    <row r="127">
      <c r="A127" s="26"/>
      <c r="B127" s="27"/>
      <c r="I127" s="27"/>
    </row>
    <row r="128">
      <c r="A128" s="26"/>
      <c r="B128" s="27"/>
      <c r="I128" s="27"/>
    </row>
    <row r="129">
      <c r="A129" s="26"/>
      <c r="B129" s="27"/>
      <c r="I129" s="27"/>
    </row>
    <row r="130">
      <c r="A130" s="26"/>
      <c r="B130" s="27"/>
      <c r="I130" s="27"/>
    </row>
    <row r="131">
      <c r="A131" s="26"/>
      <c r="B131" s="27"/>
      <c r="I131" s="27"/>
    </row>
    <row r="132">
      <c r="A132" s="26"/>
      <c r="B132" s="27"/>
      <c r="I132" s="27"/>
    </row>
    <row r="133">
      <c r="A133" s="26"/>
      <c r="B133" s="27"/>
      <c r="I133" s="27"/>
    </row>
    <row r="134">
      <c r="A134" s="26"/>
      <c r="B134" s="27"/>
      <c r="I134" s="27"/>
    </row>
    <row r="135">
      <c r="A135" s="26"/>
      <c r="B135" s="27"/>
      <c r="I135" s="27"/>
    </row>
    <row r="136">
      <c r="A136" s="26"/>
      <c r="B136" s="27"/>
      <c r="I136" s="27"/>
    </row>
    <row r="137">
      <c r="A137" s="26"/>
      <c r="B137" s="27"/>
      <c r="I137" s="27"/>
    </row>
    <row r="138">
      <c r="A138" s="26"/>
      <c r="B138" s="27"/>
      <c r="I138" s="27"/>
    </row>
    <row r="139">
      <c r="A139" s="26"/>
      <c r="B139" s="27"/>
      <c r="I139" s="27"/>
    </row>
    <row r="140">
      <c r="A140" s="26"/>
      <c r="B140" s="27"/>
      <c r="I140" s="27"/>
    </row>
    <row r="141">
      <c r="A141" s="26"/>
      <c r="B141" s="27"/>
      <c r="I141" s="27"/>
    </row>
    <row r="142">
      <c r="A142" s="26"/>
      <c r="B142" s="27"/>
      <c r="I142" s="27"/>
    </row>
    <row r="143">
      <c r="A143" s="26"/>
      <c r="B143" s="27"/>
      <c r="I143" s="27"/>
    </row>
    <row r="144">
      <c r="A144" s="26"/>
      <c r="B144" s="27"/>
      <c r="I144" s="27"/>
    </row>
    <row r="145">
      <c r="A145" s="26"/>
      <c r="B145" s="27"/>
      <c r="I145" s="27"/>
    </row>
    <row r="146">
      <c r="A146" s="26"/>
      <c r="B146" s="27"/>
      <c r="I146" s="27"/>
    </row>
    <row r="147">
      <c r="A147" s="26"/>
      <c r="B147" s="27"/>
      <c r="I147" s="27"/>
    </row>
    <row r="148">
      <c r="A148" s="26"/>
      <c r="B148" s="27"/>
      <c r="I148" s="27"/>
    </row>
    <row r="149">
      <c r="A149" s="26"/>
      <c r="B149" s="27"/>
      <c r="I149" s="27"/>
    </row>
    <row r="150">
      <c r="A150" s="26"/>
      <c r="B150" s="27"/>
      <c r="I150" s="27"/>
    </row>
    <row r="151">
      <c r="A151" s="26"/>
      <c r="B151" s="27"/>
      <c r="I151" s="27"/>
    </row>
    <row r="152">
      <c r="A152" s="26"/>
      <c r="B152" s="27"/>
      <c r="I152" s="27"/>
    </row>
    <row r="153">
      <c r="A153" s="26"/>
      <c r="B153" s="27"/>
      <c r="I153" s="27"/>
    </row>
    <row r="154">
      <c r="A154" s="26"/>
      <c r="B154" s="27"/>
      <c r="I154" s="27"/>
    </row>
    <row r="155">
      <c r="A155" s="26"/>
      <c r="B155" s="27"/>
      <c r="I155" s="27"/>
    </row>
    <row r="156">
      <c r="A156" s="26"/>
      <c r="B156" s="27"/>
      <c r="I156" s="27"/>
    </row>
    <row r="157">
      <c r="A157" s="26"/>
      <c r="B157" s="27"/>
      <c r="I157" s="27"/>
    </row>
    <row r="158">
      <c r="A158" s="26"/>
      <c r="B158" s="27"/>
      <c r="I158" s="27"/>
    </row>
    <row r="159">
      <c r="A159" s="26"/>
      <c r="B159" s="27"/>
      <c r="I159" s="27"/>
    </row>
    <row r="160">
      <c r="A160" s="26"/>
      <c r="B160" s="27"/>
      <c r="I160" s="27"/>
    </row>
    <row r="161">
      <c r="A161" s="26"/>
      <c r="B161" s="27"/>
      <c r="I161" s="27"/>
    </row>
    <row r="162">
      <c r="A162" s="26"/>
      <c r="B162" s="27"/>
      <c r="I162" s="27"/>
    </row>
    <row r="163">
      <c r="A163" s="26"/>
      <c r="B163" s="27"/>
      <c r="I163" s="27"/>
    </row>
    <row r="164">
      <c r="A164" s="26"/>
      <c r="B164" s="27"/>
      <c r="I164" s="27"/>
    </row>
    <row r="165">
      <c r="A165" s="26"/>
      <c r="B165" s="27"/>
      <c r="I165" s="27"/>
    </row>
    <row r="166">
      <c r="A166" s="26"/>
      <c r="B166" s="27"/>
      <c r="I166" s="27"/>
    </row>
    <row r="167">
      <c r="A167" s="26"/>
      <c r="B167" s="27"/>
      <c r="I167" s="27"/>
    </row>
    <row r="168">
      <c r="A168" s="26"/>
      <c r="B168" s="27"/>
      <c r="I168" s="27"/>
    </row>
    <row r="169">
      <c r="A169" s="26"/>
      <c r="B169" s="27"/>
      <c r="I169" s="27"/>
    </row>
    <row r="170">
      <c r="A170" s="26"/>
      <c r="B170" s="27"/>
      <c r="I170" s="27"/>
    </row>
    <row r="171">
      <c r="A171" s="26"/>
      <c r="B171" s="27"/>
      <c r="I171" s="27"/>
    </row>
    <row r="172">
      <c r="A172" s="26"/>
      <c r="B172" s="27"/>
      <c r="I172" s="27"/>
    </row>
    <row r="173">
      <c r="A173" s="26"/>
      <c r="B173" s="27"/>
      <c r="I173" s="27"/>
    </row>
    <row r="174">
      <c r="A174" s="26"/>
      <c r="B174" s="27"/>
      <c r="I174" s="27"/>
    </row>
    <row r="175">
      <c r="A175" s="26"/>
      <c r="B175" s="27"/>
      <c r="I175" s="27"/>
    </row>
    <row r="176">
      <c r="A176" s="26"/>
      <c r="B176" s="27"/>
      <c r="I176" s="27"/>
    </row>
    <row r="177">
      <c r="A177" s="26"/>
      <c r="B177" s="27"/>
      <c r="I177" s="27"/>
    </row>
    <row r="178">
      <c r="A178" s="26"/>
      <c r="B178" s="27"/>
      <c r="I178" s="27"/>
    </row>
    <row r="179">
      <c r="A179" s="26"/>
      <c r="B179" s="27"/>
      <c r="I179" s="27"/>
    </row>
    <row r="180">
      <c r="A180" s="26"/>
      <c r="B180" s="27"/>
      <c r="I180" s="27"/>
    </row>
    <row r="181">
      <c r="A181" s="26"/>
      <c r="B181" s="27"/>
      <c r="I181" s="27"/>
    </row>
    <row r="182">
      <c r="A182" s="26"/>
      <c r="B182" s="27"/>
      <c r="I182" s="27"/>
    </row>
    <row r="183">
      <c r="A183" s="26"/>
      <c r="B183" s="27"/>
      <c r="I183" s="27"/>
    </row>
    <row r="184">
      <c r="A184" s="26"/>
      <c r="B184" s="27"/>
      <c r="I184" s="27"/>
    </row>
    <row r="185">
      <c r="A185" s="26"/>
      <c r="B185" s="27"/>
      <c r="I185" s="27"/>
    </row>
    <row r="186">
      <c r="A186" s="26"/>
      <c r="B186" s="27"/>
      <c r="I186" s="27"/>
    </row>
    <row r="187">
      <c r="A187" s="26"/>
      <c r="B187" s="27"/>
      <c r="I187" s="27"/>
    </row>
    <row r="188">
      <c r="A188" s="26"/>
      <c r="B188" s="27"/>
      <c r="I188" s="27"/>
    </row>
    <row r="189">
      <c r="A189" s="26"/>
      <c r="B189" s="27"/>
      <c r="I189" s="27"/>
    </row>
    <row r="190">
      <c r="A190" s="26"/>
      <c r="B190" s="27"/>
      <c r="I190" s="27"/>
    </row>
    <row r="191">
      <c r="A191" s="26"/>
      <c r="B191" s="27"/>
      <c r="I191" s="27"/>
    </row>
    <row r="192">
      <c r="A192" s="26"/>
      <c r="B192" s="27"/>
      <c r="I192" s="27"/>
    </row>
    <row r="193">
      <c r="A193" s="26"/>
      <c r="B193" s="27"/>
      <c r="I193" s="27"/>
    </row>
    <row r="194">
      <c r="A194" s="26"/>
      <c r="B194" s="27"/>
      <c r="I194" s="27"/>
    </row>
    <row r="195">
      <c r="A195" s="26"/>
      <c r="B195" s="27"/>
      <c r="I195" s="27"/>
    </row>
    <row r="196">
      <c r="A196" s="26"/>
      <c r="B196" s="27"/>
      <c r="I196" s="27"/>
    </row>
    <row r="197">
      <c r="A197" s="26"/>
      <c r="B197" s="27"/>
      <c r="I197" s="27"/>
    </row>
    <row r="198">
      <c r="A198" s="26"/>
      <c r="B198" s="27"/>
      <c r="I198" s="27"/>
    </row>
    <row r="199">
      <c r="A199" s="26"/>
      <c r="B199" s="27"/>
      <c r="I199" s="27"/>
    </row>
    <row r="200">
      <c r="A200" s="26"/>
      <c r="B200" s="27"/>
      <c r="I200" s="27"/>
    </row>
    <row r="201">
      <c r="A201" s="26"/>
      <c r="B201" s="27"/>
      <c r="I201" s="27"/>
    </row>
    <row r="202">
      <c r="A202" s="26"/>
      <c r="B202" s="27"/>
      <c r="I202" s="27"/>
    </row>
    <row r="203">
      <c r="A203" s="26"/>
      <c r="B203" s="27"/>
      <c r="I203" s="27"/>
    </row>
    <row r="204">
      <c r="A204" s="26"/>
      <c r="B204" s="27"/>
      <c r="I204" s="27"/>
    </row>
    <row r="205">
      <c r="A205" s="26"/>
      <c r="B205" s="27"/>
      <c r="I205" s="27"/>
    </row>
    <row r="206">
      <c r="A206" s="26"/>
      <c r="B206" s="27"/>
      <c r="I206" s="27"/>
    </row>
    <row r="207">
      <c r="A207" s="26"/>
      <c r="B207" s="27"/>
      <c r="I207" s="27"/>
    </row>
    <row r="208">
      <c r="A208" s="26"/>
      <c r="B208" s="27"/>
      <c r="I208" s="27"/>
    </row>
    <row r="209">
      <c r="A209" s="26"/>
      <c r="B209" s="27"/>
      <c r="I209" s="27"/>
    </row>
    <row r="210">
      <c r="A210" s="26"/>
      <c r="B210" s="27"/>
      <c r="I210" s="27"/>
    </row>
    <row r="211">
      <c r="A211" s="26"/>
      <c r="B211" s="27"/>
      <c r="I211" s="27"/>
    </row>
    <row r="212">
      <c r="A212" s="26"/>
      <c r="B212" s="27"/>
      <c r="I212" s="27"/>
    </row>
    <row r="213">
      <c r="A213" s="26"/>
      <c r="B213" s="27"/>
      <c r="I213" s="27"/>
    </row>
    <row r="214">
      <c r="A214" s="26"/>
      <c r="B214" s="27"/>
      <c r="I214" s="27"/>
    </row>
    <row r="215">
      <c r="A215" s="26"/>
      <c r="B215" s="27"/>
      <c r="I215" s="27"/>
    </row>
    <row r="216">
      <c r="A216" s="26"/>
      <c r="B216" s="27"/>
      <c r="I216" s="27"/>
    </row>
    <row r="217">
      <c r="A217" s="26"/>
      <c r="B217" s="27"/>
      <c r="I217" s="27"/>
    </row>
    <row r="218">
      <c r="A218" s="26"/>
      <c r="B218" s="27"/>
      <c r="I218" s="27"/>
    </row>
    <row r="219">
      <c r="A219" s="26"/>
      <c r="B219" s="27"/>
      <c r="I219" s="27"/>
    </row>
    <row r="220">
      <c r="A220" s="26"/>
      <c r="B220" s="27"/>
      <c r="I220" s="27"/>
    </row>
    <row r="221">
      <c r="A221" s="26"/>
      <c r="B221" s="27"/>
      <c r="I221" s="27"/>
    </row>
    <row r="222">
      <c r="A222" s="26"/>
      <c r="B222" s="27"/>
      <c r="I222" s="27"/>
    </row>
    <row r="223">
      <c r="A223" s="26"/>
      <c r="B223" s="27"/>
      <c r="I223" s="27"/>
    </row>
    <row r="224">
      <c r="A224" s="26"/>
      <c r="B224" s="27"/>
      <c r="I224" s="27"/>
    </row>
    <row r="225">
      <c r="A225" s="26"/>
      <c r="B225" s="27"/>
      <c r="I225" s="27"/>
    </row>
    <row r="226">
      <c r="A226" s="26"/>
      <c r="B226" s="27"/>
      <c r="I226" s="27"/>
    </row>
    <row r="227">
      <c r="A227" s="26"/>
      <c r="B227" s="27"/>
      <c r="I227" s="27"/>
    </row>
    <row r="228">
      <c r="A228" s="26"/>
      <c r="B228" s="27"/>
      <c r="I228" s="27"/>
    </row>
    <row r="229">
      <c r="A229" s="26"/>
      <c r="B229" s="27"/>
      <c r="I229" s="27"/>
    </row>
    <row r="230">
      <c r="A230" s="26"/>
      <c r="B230" s="27"/>
      <c r="I230" s="27"/>
    </row>
    <row r="231">
      <c r="A231" s="26"/>
      <c r="B231" s="27"/>
      <c r="I231" s="27"/>
    </row>
    <row r="232">
      <c r="A232" s="26"/>
      <c r="B232" s="27"/>
      <c r="I232" s="27"/>
    </row>
    <row r="233">
      <c r="A233" s="26"/>
      <c r="B233" s="27"/>
      <c r="I233" s="27"/>
    </row>
    <row r="234">
      <c r="A234" s="26"/>
      <c r="B234" s="27"/>
      <c r="I234" s="27"/>
    </row>
    <row r="235">
      <c r="A235" s="26"/>
      <c r="B235" s="27"/>
      <c r="I235" s="27"/>
    </row>
    <row r="236">
      <c r="A236" s="26"/>
      <c r="B236" s="27"/>
      <c r="I236" s="27"/>
    </row>
    <row r="237">
      <c r="A237" s="26"/>
      <c r="B237" s="27"/>
      <c r="I237" s="27"/>
    </row>
    <row r="238">
      <c r="A238" s="26"/>
      <c r="B238" s="27"/>
      <c r="I238" s="27"/>
    </row>
    <row r="239">
      <c r="A239" s="26"/>
      <c r="B239" s="27"/>
      <c r="I239" s="27"/>
    </row>
    <row r="240">
      <c r="A240" s="26"/>
      <c r="B240" s="27"/>
      <c r="I240" s="27"/>
    </row>
    <row r="241">
      <c r="A241" s="26"/>
      <c r="B241" s="27"/>
      <c r="I241" s="27"/>
    </row>
    <row r="242">
      <c r="A242" s="26"/>
      <c r="B242" s="27"/>
      <c r="I242" s="27"/>
    </row>
    <row r="243">
      <c r="A243" s="26"/>
      <c r="B243" s="27"/>
      <c r="I243" s="27"/>
    </row>
    <row r="244">
      <c r="A244" s="26"/>
      <c r="B244" s="27"/>
      <c r="I244" s="27"/>
    </row>
    <row r="245">
      <c r="A245" s="26"/>
      <c r="B245" s="27"/>
      <c r="I245" s="27"/>
    </row>
    <row r="246">
      <c r="A246" s="26"/>
      <c r="B246" s="27"/>
      <c r="I246" s="27"/>
    </row>
    <row r="247">
      <c r="A247" s="26"/>
      <c r="B247" s="27"/>
      <c r="I247" s="27"/>
    </row>
    <row r="248">
      <c r="A248" s="26"/>
      <c r="B248" s="27"/>
      <c r="I248" s="27"/>
    </row>
    <row r="249">
      <c r="A249" s="26"/>
      <c r="B249" s="27"/>
      <c r="I249" s="27"/>
    </row>
    <row r="250">
      <c r="A250" s="26"/>
      <c r="B250" s="27"/>
      <c r="I250" s="27"/>
    </row>
    <row r="251">
      <c r="A251" s="26"/>
      <c r="B251" s="27"/>
      <c r="I251" s="27"/>
    </row>
    <row r="252">
      <c r="A252" s="26"/>
      <c r="B252" s="27"/>
      <c r="I252" s="27"/>
    </row>
    <row r="253">
      <c r="A253" s="26"/>
      <c r="B253" s="27"/>
      <c r="I253" s="27"/>
    </row>
    <row r="254">
      <c r="A254" s="26"/>
      <c r="B254" s="27"/>
      <c r="I254" s="27"/>
    </row>
    <row r="255">
      <c r="A255" s="26"/>
      <c r="B255" s="27"/>
      <c r="I255" s="27"/>
    </row>
    <row r="256">
      <c r="A256" s="26"/>
      <c r="B256" s="27"/>
      <c r="I256" s="27"/>
    </row>
    <row r="257">
      <c r="A257" s="26"/>
      <c r="B257" s="27"/>
      <c r="I257" s="27"/>
    </row>
    <row r="258">
      <c r="A258" s="26"/>
      <c r="B258" s="27"/>
      <c r="I258" s="27"/>
    </row>
    <row r="259">
      <c r="A259" s="26"/>
      <c r="B259" s="27"/>
      <c r="I259" s="27"/>
    </row>
    <row r="260">
      <c r="A260" s="26"/>
      <c r="B260" s="27"/>
      <c r="I260" s="27"/>
    </row>
    <row r="261">
      <c r="A261" s="26"/>
      <c r="B261" s="27"/>
      <c r="I261" s="27"/>
    </row>
    <row r="262">
      <c r="A262" s="26"/>
      <c r="B262" s="27"/>
      <c r="I262" s="27"/>
    </row>
    <row r="263">
      <c r="A263" s="26"/>
      <c r="B263" s="27"/>
      <c r="I263" s="27"/>
    </row>
    <row r="264">
      <c r="A264" s="26"/>
      <c r="B264" s="27"/>
      <c r="I264" s="27"/>
    </row>
    <row r="265">
      <c r="A265" s="26"/>
      <c r="B265" s="27"/>
      <c r="I265" s="27"/>
    </row>
    <row r="266">
      <c r="A266" s="26"/>
      <c r="B266" s="27"/>
      <c r="I266" s="27"/>
    </row>
    <row r="267">
      <c r="A267" s="26"/>
      <c r="B267" s="27"/>
      <c r="I267" s="27"/>
    </row>
    <row r="268">
      <c r="A268" s="26"/>
      <c r="B268" s="27"/>
      <c r="I268" s="27"/>
    </row>
    <row r="269">
      <c r="A269" s="26"/>
      <c r="B269" s="27"/>
      <c r="I269" s="27"/>
    </row>
    <row r="270">
      <c r="A270" s="26"/>
      <c r="B270" s="27"/>
      <c r="I270" s="27"/>
    </row>
    <row r="271">
      <c r="A271" s="26"/>
      <c r="B271" s="27"/>
      <c r="I271" s="27"/>
    </row>
    <row r="272">
      <c r="A272" s="26"/>
      <c r="B272" s="27"/>
      <c r="I272" s="27"/>
    </row>
    <row r="273">
      <c r="A273" s="26"/>
      <c r="B273" s="27"/>
      <c r="I273" s="27"/>
    </row>
    <row r="274">
      <c r="A274" s="26"/>
      <c r="B274" s="27"/>
      <c r="I274" s="27"/>
    </row>
    <row r="275">
      <c r="A275" s="26"/>
      <c r="B275" s="27"/>
      <c r="I275" s="27"/>
    </row>
    <row r="276">
      <c r="A276" s="26"/>
      <c r="B276" s="27"/>
      <c r="I276" s="27"/>
    </row>
    <row r="277">
      <c r="A277" s="26"/>
      <c r="B277" s="27"/>
      <c r="I277" s="27"/>
    </row>
    <row r="278">
      <c r="A278" s="26"/>
      <c r="B278" s="27"/>
      <c r="I278" s="27"/>
    </row>
    <row r="279">
      <c r="A279" s="26"/>
      <c r="B279" s="27"/>
      <c r="I279" s="27"/>
    </row>
    <row r="280">
      <c r="A280" s="26"/>
      <c r="B280" s="27"/>
      <c r="I280" s="27"/>
    </row>
    <row r="281">
      <c r="A281" s="26"/>
      <c r="B281" s="27"/>
      <c r="I281" s="27"/>
    </row>
    <row r="282">
      <c r="A282" s="26"/>
      <c r="B282" s="27"/>
      <c r="I282" s="27"/>
    </row>
    <row r="283">
      <c r="A283" s="26"/>
      <c r="B283" s="27"/>
      <c r="I283" s="27"/>
    </row>
    <row r="284">
      <c r="A284" s="26"/>
      <c r="B284" s="27"/>
      <c r="I284" s="27"/>
    </row>
    <row r="285">
      <c r="A285" s="26"/>
      <c r="B285" s="27"/>
      <c r="I285" s="27"/>
    </row>
    <row r="286">
      <c r="A286" s="26"/>
      <c r="B286" s="27"/>
      <c r="I286" s="27"/>
    </row>
    <row r="287">
      <c r="A287" s="26"/>
      <c r="B287" s="27"/>
      <c r="I287" s="27"/>
    </row>
    <row r="288">
      <c r="A288" s="26"/>
      <c r="B288" s="27"/>
      <c r="I288" s="27"/>
    </row>
    <row r="289">
      <c r="A289" s="26"/>
      <c r="B289" s="27"/>
      <c r="I289" s="27"/>
    </row>
    <row r="290">
      <c r="A290" s="26"/>
      <c r="B290" s="27"/>
      <c r="I290" s="27"/>
    </row>
    <row r="291">
      <c r="A291" s="26"/>
      <c r="B291" s="27"/>
      <c r="I291" s="27"/>
    </row>
    <row r="292">
      <c r="A292" s="26"/>
      <c r="B292" s="27"/>
      <c r="I292" s="27"/>
    </row>
    <row r="293">
      <c r="A293" s="26"/>
      <c r="B293" s="27"/>
      <c r="I293" s="27"/>
    </row>
    <row r="294">
      <c r="A294" s="26"/>
      <c r="B294" s="27"/>
      <c r="I294" s="27"/>
    </row>
    <row r="295">
      <c r="A295" s="26"/>
      <c r="B295" s="27"/>
      <c r="I295" s="27"/>
    </row>
    <row r="296">
      <c r="A296" s="26"/>
      <c r="B296" s="27"/>
      <c r="I296" s="27"/>
    </row>
    <row r="297">
      <c r="A297" s="26"/>
      <c r="B297" s="27"/>
      <c r="I297" s="27"/>
    </row>
    <row r="298">
      <c r="A298" s="26"/>
      <c r="B298" s="27"/>
      <c r="I298" s="27"/>
    </row>
    <row r="299">
      <c r="A299" s="26"/>
      <c r="B299" s="27"/>
      <c r="I299" s="27"/>
    </row>
    <row r="300">
      <c r="A300" s="26"/>
      <c r="B300" s="27"/>
      <c r="I300" s="27"/>
    </row>
    <row r="301">
      <c r="A301" s="26"/>
      <c r="B301" s="27"/>
      <c r="I301" s="27"/>
    </row>
    <row r="302">
      <c r="A302" s="26"/>
      <c r="B302" s="27"/>
      <c r="I302" s="27"/>
    </row>
    <row r="303">
      <c r="A303" s="26"/>
      <c r="B303" s="27"/>
      <c r="I303" s="27"/>
    </row>
    <row r="304">
      <c r="A304" s="26"/>
      <c r="B304" s="27"/>
      <c r="I304" s="27"/>
    </row>
    <row r="305">
      <c r="A305" s="26"/>
      <c r="B305" s="27"/>
      <c r="I305" s="27"/>
    </row>
    <row r="306">
      <c r="A306" s="26"/>
      <c r="B306" s="27"/>
      <c r="I306" s="27"/>
    </row>
    <row r="307">
      <c r="A307" s="26"/>
      <c r="B307" s="27"/>
      <c r="I307" s="27"/>
    </row>
    <row r="308">
      <c r="A308" s="26"/>
      <c r="B308" s="27"/>
      <c r="I308" s="27"/>
    </row>
    <row r="309">
      <c r="A309" s="26"/>
      <c r="B309" s="27"/>
      <c r="I309" s="27"/>
    </row>
    <row r="310">
      <c r="A310" s="26"/>
      <c r="B310" s="27"/>
      <c r="I310" s="27"/>
    </row>
    <row r="311">
      <c r="A311" s="26"/>
      <c r="B311" s="27"/>
      <c r="I311" s="27"/>
    </row>
    <row r="312">
      <c r="A312" s="26"/>
      <c r="B312" s="27"/>
      <c r="I312" s="27"/>
    </row>
    <row r="313">
      <c r="A313" s="26"/>
      <c r="B313" s="27"/>
      <c r="I313" s="27"/>
    </row>
    <row r="314">
      <c r="A314" s="26"/>
      <c r="B314" s="27"/>
      <c r="I314" s="27"/>
    </row>
    <row r="315">
      <c r="A315" s="26"/>
      <c r="B315" s="27"/>
      <c r="I315" s="27"/>
    </row>
    <row r="316">
      <c r="A316" s="26"/>
      <c r="B316" s="27"/>
      <c r="I316" s="27"/>
    </row>
    <row r="317">
      <c r="A317" s="26"/>
      <c r="B317" s="27"/>
      <c r="I317" s="27"/>
    </row>
    <row r="318">
      <c r="A318" s="26"/>
      <c r="B318" s="27"/>
      <c r="I318" s="27"/>
    </row>
    <row r="319">
      <c r="A319" s="26"/>
      <c r="B319" s="27"/>
      <c r="I319" s="27"/>
    </row>
    <row r="320">
      <c r="A320" s="26"/>
      <c r="B320" s="27"/>
      <c r="I320" s="27"/>
    </row>
    <row r="321">
      <c r="A321" s="26"/>
      <c r="B321" s="27"/>
      <c r="I321" s="27"/>
    </row>
    <row r="322">
      <c r="A322" s="26"/>
      <c r="B322" s="27"/>
      <c r="I322" s="27"/>
    </row>
    <row r="323">
      <c r="A323" s="26"/>
      <c r="B323" s="27"/>
      <c r="I323" s="27"/>
    </row>
    <row r="324">
      <c r="A324" s="26"/>
      <c r="B324" s="27"/>
      <c r="I324" s="27"/>
    </row>
    <row r="325">
      <c r="A325" s="26"/>
      <c r="B325" s="27"/>
      <c r="I325" s="27"/>
    </row>
    <row r="326">
      <c r="A326" s="26"/>
      <c r="B326" s="27"/>
      <c r="I326" s="27"/>
    </row>
    <row r="327">
      <c r="A327" s="26"/>
      <c r="B327" s="27"/>
      <c r="I327" s="27"/>
    </row>
    <row r="328">
      <c r="A328" s="26"/>
      <c r="B328" s="27"/>
      <c r="I328" s="27"/>
    </row>
    <row r="329">
      <c r="A329" s="26"/>
      <c r="B329" s="27"/>
      <c r="I329" s="27"/>
    </row>
    <row r="330">
      <c r="A330" s="26"/>
      <c r="B330" s="27"/>
      <c r="I330" s="27"/>
    </row>
    <row r="331">
      <c r="A331" s="26"/>
      <c r="B331" s="27"/>
      <c r="I331" s="27"/>
    </row>
    <row r="332">
      <c r="A332" s="26"/>
      <c r="B332" s="27"/>
      <c r="I332" s="27"/>
    </row>
    <row r="333">
      <c r="A333" s="26"/>
      <c r="B333" s="27"/>
      <c r="I333" s="27"/>
    </row>
    <row r="334">
      <c r="A334" s="26"/>
      <c r="B334" s="27"/>
      <c r="I334" s="27"/>
    </row>
    <row r="335">
      <c r="A335" s="26"/>
      <c r="B335" s="27"/>
      <c r="I335" s="27"/>
    </row>
    <row r="336">
      <c r="A336" s="26"/>
      <c r="B336" s="27"/>
      <c r="I336" s="27"/>
    </row>
    <row r="337">
      <c r="A337" s="26"/>
      <c r="B337" s="27"/>
      <c r="I337" s="27"/>
    </row>
    <row r="338">
      <c r="A338" s="26"/>
      <c r="B338" s="27"/>
      <c r="I338" s="27"/>
    </row>
    <row r="339">
      <c r="A339" s="26"/>
      <c r="B339" s="27"/>
      <c r="I339" s="27"/>
    </row>
    <row r="340">
      <c r="A340" s="26"/>
      <c r="B340" s="27"/>
      <c r="I340" s="27"/>
    </row>
    <row r="341">
      <c r="A341" s="26"/>
      <c r="B341" s="27"/>
      <c r="I341" s="27"/>
    </row>
    <row r="342">
      <c r="A342" s="26"/>
      <c r="B342" s="27"/>
      <c r="I342" s="27"/>
    </row>
    <row r="343">
      <c r="A343" s="26"/>
      <c r="B343" s="27"/>
      <c r="I343" s="27"/>
    </row>
    <row r="344">
      <c r="A344" s="26"/>
      <c r="B344" s="27"/>
      <c r="I344" s="27"/>
    </row>
    <row r="345">
      <c r="A345" s="26"/>
      <c r="B345" s="27"/>
      <c r="I345" s="27"/>
    </row>
    <row r="346">
      <c r="A346" s="26"/>
      <c r="B346" s="27"/>
      <c r="I346" s="27"/>
    </row>
    <row r="347">
      <c r="A347" s="26"/>
      <c r="B347" s="27"/>
      <c r="I347" s="27"/>
    </row>
    <row r="348">
      <c r="A348" s="26"/>
      <c r="B348" s="27"/>
      <c r="I348" s="27"/>
    </row>
    <row r="349">
      <c r="A349" s="26"/>
      <c r="B349" s="27"/>
      <c r="I349" s="27"/>
    </row>
    <row r="350">
      <c r="A350" s="26"/>
      <c r="B350" s="27"/>
      <c r="I350" s="27"/>
    </row>
    <row r="351">
      <c r="A351" s="26"/>
      <c r="B351" s="27"/>
      <c r="I351" s="27"/>
    </row>
    <row r="352">
      <c r="A352" s="26"/>
      <c r="B352" s="27"/>
      <c r="I352" s="27"/>
    </row>
    <row r="353">
      <c r="A353" s="26"/>
      <c r="B353" s="27"/>
      <c r="I353" s="27"/>
    </row>
    <row r="354">
      <c r="A354" s="26"/>
      <c r="B354" s="27"/>
      <c r="I354" s="27"/>
    </row>
    <row r="355">
      <c r="A355" s="26"/>
      <c r="B355" s="27"/>
      <c r="I355" s="27"/>
    </row>
    <row r="356">
      <c r="A356" s="26"/>
      <c r="B356" s="27"/>
      <c r="I356" s="27"/>
    </row>
    <row r="357">
      <c r="A357" s="26"/>
      <c r="B357" s="27"/>
      <c r="I357" s="27"/>
    </row>
    <row r="358">
      <c r="A358" s="26"/>
      <c r="B358" s="27"/>
      <c r="I358" s="27"/>
    </row>
    <row r="359">
      <c r="A359" s="26"/>
      <c r="B359" s="27"/>
      <c r="I359" s="27"/>
    </row>
    <row r="360">
      <c r="A360" s="26"/>
      <c r="B360" s="27"/>
      <c r="I360" s="27"/>
    </row>
    <row r="361">
      <c r="A361" s="26"/>
      <c r="B361" s="27"/>
      <c r="I361" s="27"/>
    </row>
    <row r="362">
      <c r="A362" s="26"/>
      <c r="B362" s="27"/>
      <c r="I362" s="27"/>
    </row>
    <row r="363">
      <c r="A363" s="26"/>
      <c r="B363" s="27"/>
      <c r="I363" s="27"/>
    </row>
    <row r="364">
      <c r="A364" s="26"/>
      <c r="B364" s="27"/>
      <c r="I364" s="27"/>
    </row>
    <row r="365">
      <c r="A365" s="26"/>
      <c r="B365" s="27"/>
      <c r="I365" s="27"/>
    </row>
    <row r="366">
      <c r="A366" s="26"/>
      <c r="B366" s="27"/>
      <c r="I366" s="27"/>
    </row>
    <row r="367">
      <c r="A367" s="26"/>
      <c r="B367" s="27"/>
      <c r="I367" s="27"/>
    </row>
    <row r="368">
      <c r="A368" s="26"/>
      <c r="B368" s="27"/>
      <c r="I368" s="27"/>
    </row>
    <row r="369">
      <c r="A369" s="26"/>
      <c r="B369" s="27"/>
      <c r="I369" s="27"/>
    </row>
    <row r="370">
      <c r="A370" s="26"/>
      <c r="B370" s="27"/>
      <c r="I370" s="27"/>
    </row>
    <row r="371">
      <c r="A371" s="26"/>
      <c r="B371" s="27"/>
      <c r="I371" s="27"/>
    </row>
    <row r="372">
      <c r="A372" s="26"/>
      <c r="B372" s="27"/>
      <c r="I372" s="27"/>
    </row>
    <row r="373">
      <c r="A373" s="26"/>
      <c r="B373" s="27"/>
      <c r="I373" s="27"/>
    </row>
    <row r="374">
      <c r="A374" s="26"/>
      <c r="B374" s="27"/>
      <c r="I374" s="27"/>
    </row>
    <row r="375">
      <c r="A375" s="26"/>
      <c r="B375" s="27"/>
      <c r="I375" s="27"/>
    </row>
    <row r="376">
      <c r="A376" s="26"/>
      <c r="B376" s="27"/>
      <c r="I376" s="27"/>
    </row>
    <row r="377">
      <c r="A377" s="26"/>
      <c r="B377" s="27"/>
      <c r="I377" s="27"/>
    </row>
    <row r="378">
      <c r="A378" s="26"/>
      <c r="B378" s="27"/>
      <c r="I378" s="27"/>
    </row>
    <row r="379">
      <c r="A379" s="26"/>
      <c r="B379" s="27"/>
      <c r="I379" s="27"/>
    </row>
    <row r="380">
      <c r="A380" s="26"/>
      <c r="B380" s="27"/>
      <c r="I380" s="27"/>
    </row>
    <row r="381">
      <c r="A381" s="26"/>
      <c r="B381" s="27"/>
      <c r="I381" s="27"/>
    </row>
    <row r="382">
      <c r="A382" s="26"/>
      <c r="B382" s="27"/>
      <c r="I382" s="27"/>
    </row>
    <row r="383">
      <c r="A383" s="26"/>
      <c r="B383" s="27"/>
      <c r="I383" s="27"/>
    </row>
    <row r="384">
      <c r="A384" s="26"/>
      <c r="B384" s="27"/>
      <c r="I384" s="27"/>
    </row>
    <row r="385">
      <c r="A385" s="26"/>
      <c r="B385" s="27"/>
      <c r="I385" s="27"/>
    </row>
    <row r="386">
      <c r="A386" s="26"/>
      <c r="B386" s="27"/>
      <c r="I386" s="27"/>
    </row>
    <row r="387">
      <c r="A387" s="26"/>
      <c r="B387" s="27"/>
      <c r="I387" s="27"/>
    </row>
    <row r="388">
      <c r="A388" s="26"/>
      <c r="B388" s="27"/>
      <c r="I388" s="27"/>
    </row>
    <row r="389">
      <c r="A389" s="26"/>
      <c r="B389" s="27"/>
      <c r="I389" s="27"/>
    </row>
    <row r="390">
      <c r="A390" s="26"/>
      <c r="B390" s="27"/>
      <c r="I390" s="27"/>
    </row>
    <row r="391">
      <c r="A391" s="26"/>
      <c r="B391" s="27"/>
      <c r="I391" s="27"/>
    </row>
    <row r="392">
      <c r="A392" s="26"/>
      <c r="B392" s="27"/>
      <c r="I392" s="27"/>
    </row>
    <row r="393">
      <c r="A393" s="26"/>
      <c r="B393" s="27"/>
      <c r="I393" s="27"/>
    </row>
    <row r="394">
      <c r="A394" s="26"/>
      <c r="B394" s="27"/>
      <c r="I394" s="27"/>
    </row>
    <row r="395">
      <c r="A395" s="26"/>
      <c r="B395" s="27"/>
      <c r="I395" s="27"/>
    </row>
    <row r="396">
      <c r="A396" s="26"/>
      <c r="B396" s="27"/>
      <c r="I396" s="27"/>
    </row>
    <row r="397">
      <c r="A397" s="26"/>
      <c r="B397" s="27"/>
      <c r="I397" s="27"/>
    </row>
    <row r="398">
      <c r="A398" s="26"/>
      <c r="B398" s="27"/>
      <c r="I398" s="27"/>
    </row>
    <row r="399">
      <c r="A399" s="26"/>
      <c r="B399" s="27"/>
      <c r="I399" s="27"/>
    </row>
    <row r="400">
      <c r="A400" s="26"/>
      <c r="B400" s="27"/>
      <c r="I400" s="27"/>
    </row>
    <row r="401">
      <c r="A401" s="26"/>
      <c r="B401" s="27"/>
      <c r="I401" s="27"/>
    </row>
    <row r="402">
      <c r="A402" s="26"/>
      <c r="B402" s="27"/>
      <c r="I402" s="27"/>
    </row>
    <row r="403">
      <c r="A403" s="26"/>
      <c r="B403" s="27"/>
      <c r="I403" s="27"/>
    </row>
    <row r="404">
      <c r="A404" s="26"/>
      <c r="B404" s="27"/>
      <c r="I404" s="27"/>
    </row>
    <row r="405">
      <c r="A405" s="26"/>
      <c r="B405" s="27"/>
      <c r="I405" s="27"/>
    </row>
    <row r="406">
      <c r="A406" s="26"/>
      <c r="B406" s="27"/>
      <c r="I406" s="27"/>
    </row>
    <row r="407">
      <c r="A407" s="26"/>
      <c r="B407" s="27"/>
      <c r="I407" s="27"/>
    </row>
    <row r="408">
      <c r="A408" s="26"/>
      <c r="B408" s="27"/>
      <c r="I408" s="27"/>
    </row>
    <row r="409">
      <c r="A409" s="26"/>
      <c r="B409" s="27"/>
      <c r="I409" s="27"/>
    </row>
    <row r="410">
      <c r="A410" s="26"/>
      <c r="B410" s="27"/>
      <c r="I410" s="27"/>
    </row>
    <row r="411">
      <c r="A411" s="26"/>
      <c r="B411" s="27"/>
      <c r="I411" s="27"/>
    </row>
    <row r="412">
      <c r="A412" s="26"/>
      <c r="B412" s="27"/>
      <c r="I412" s="27"/>
    </row>
    <row r="413">
      <c r="A413" s="26"/>
      <c r="B413" s="27"/>
      <c r="I413" s="27"/>
    </row>
    <row r="414">
      <c r="A414" s="26"/>
      <c r="B414" s="27"/>
      <c r="I414" s="27"/>
    </row>
    <row r="415">
      <c r="A415" s="26"/>
      <c r="B415" s="27"/>
      <c r="I415" s="27"/>
    </row>
    <row r="416">
      <c r="A416" s="26"/>
      <c r="B416" s="27"/>
      <c r="I416" s="27"/>
    </row>
    <row r="417">
      <c r="A417" s="26"/>
      <c r="B417" s="27"/>
      <c r="I417" s="27"/>
    </row>
    <row r="418">
      <c r="A418" s="26"/>
      <c r="B418" s="27"/>
      <c r="I418" s="27"/>
    </row>
    <row r="419">
      <c r="A419" s="26"/>
      <c r="B419" s="27"/>
      <c r="I419" s="27"/>
    </row>
    <row r="420">
      <c r="A420" s="26"/>
      <c r="B420" s="27"/>
      <c r="I420" s="27"/>
    </row>
    <row r="421">
      <c r="A421" s="26"/>
      <c r="B421" s="27"/>
      <c r="I421" s="27"/>
    </row>
    <row r="422">
      <c r="A422" s="26"/>
      <c r="B422" s="27"/>
      <c r="I422" s="27"/>
    </row>
    <row r="423">
      <c r="A423" s="26"/>
      <c r="B423" s="27"/>
      <c r="I423" s="27"/>
    </row>
    <row r="424">
      <c r="A424" s="26"/>
      <c r="B424" s="27"/>
      <c r="I424" s="27"/>
    </row>
    <row r="425">
      <c r="A425" s="26"/>
      <c r="B425" s="27"/>
      <c r="I425" s="27"/>
    </row>
    <row r="426">
      <c r="A426" s="26"/>
      <c r="B426" s="27"/>
      <c r="I426" s="27"/>
    </row>
    <row r="427">
      <c r="A427" s="26"/>
      <c r="B427" s="27"/>
      <c r="I427" s="27"/>
    </row>
    <row r="428">
      <c r="A428" s="26"/>
      <c r="B428" s="27"/>
      <c r="I428" s="27"/>
    </row>
    <row r="429">
      <c r="A429" s="26"/>
      <c r="B429" s="27"/>
      <c r="I429" s="27"/>
    </row>
    <row r="430">
      <c r="A430" s="26"/>
      <c r="B430" s="27"/>
      <c r="I430" s="27"/>
    </row>
    <row r="431">
      <c r="A431" s="26"/>
      <c r="B431" s="27"/>
      <c r="I431" s="27"/>
    </row>
    <row r="432">
      <c r="A432" s="26"/>
      <c r="B432" s="27"/>
      <c r="I432" s="27"/>
    </row>
    <row r="433">
      <c r="A433" s="26"/>
      <c r="B433" s="27"/>
      <c r="I433" s="27"/>
    </row>
    <row r="434">
      <c r="A434" s="26"/>
      <c r="B434" s="27"/>
      <c r="I434" s="27"/>
    </row>
    <row r="435">
      <c r="A435" s="26"/>
      <c r="B435" s="27"/>
      <c r="I435" s="27"/>
    </row>
    <row r="436">
      <c r="A436" s="26"/>
      <c r="B436" s="27"/>
      <c r="I436" s="27"/>
    </row>
    <row r="437">
      <c r="A437" s="26"/>
      <c r="B437" s="27"/>
      <c r="I437" s="27"/>
    </row>
    <row r="438">
      <c r="A438" s="26"/>
      <c r="B438" s="27"/>
      <c r="I438" s="27"/>
    </row>
    <row r="439">
      <c r="A439" s="26"/>
      <c r="B439" s="27"/>
      <c r="I439" s="27"/>
    </row>
    <row r="440">
      <c r="A440" s="26"/>
      <c r="B440" s="27"/>
      <c r="I440" s="27"/>
    </row>
    <row r="441">
      <c r="A441" s="26"/>
      <c r="B441" s="27"/>
      <c r="I441" s="27"/>
    </row>
    <row r="442">
      <c r="A442" s="26"/>
      <c r="B442" s="27"/>
      <c r="I442" s="27"/>
    </row>
    <row r="443">
      <c r="A443" s="26"/>
      <c r="B443" s="27"/>
      <c r="I443" s="27"/>
    </row>
    <row r="444">
      <c r="A444" s="26"/>
      <c r="B444" s="27"/>
      <c r="I444" s="27"/>
    </row>
    <row r="445">
      <c r="A445" s="26"/>
      <c r="B445" s="27"/>
      <c r="I445" s="27"/>
    </row>
    <row r="446">
      <c r="A446" s="26"/>
      <c r="B446" s="27"/>
      <c r="I446" s="27"/>
    </row>
    <row r="447">
      <c r="A447" s="26"/>
      <c r="B447" s="27"/>
      <c r="I447" s="27"/>
    </row>
    <row r="448">
      <c r="A448" s="26"/>
      <c r="B448" s="27"/>
      <c r="I448" s="27"/>
    </row>
    <row r="449">
      <c r="A449" s="26"/>
      <c r="B449" s="27"/>
      <c r="I449" s="27"/>
    </row>
    <row r="450">
      <c r="A450" s="26"/>
      <c r="B450" s="27"/>
      <c r="I450" s="27"/>
    </row>
    <row r="451">
      <c r="A451" s="26"/>
      <c r="B451" s="27"/>
      <c r="I451" s="27"/>
    </row>
    <row r="452">
      <c r="A452" s="26"/>
      <c r="B452" s="27"/>
      <c r="I452" s="27"/>
    </row>
    <row r="453">
      <c r="A453" s="26"/>
      <c r="B453" s="27"/>
      <c r="I453" s="27"/>
    </row>
    <row r="454">
      <c r="A454" s="26"/>
      <c r="B454" s="27"/>
      <c r="I454" s="27"/>
    </row>
    <row r="455">
      <c r="A455" s="26"/>
      <c r="B455" s="27"/>
      <c r="I455" s="27"/>
    </row>
    <row r="456">
      <c r="A456" s="26"/>
      <c r="B456" s="27"/>
      <c r="I456" s="27"/>
    </row>
    <row r="457">
      <c r="A457" s="26"/>
      <c r="B457" s="27"/>
      <c r="I457" s="27"/>
    </row>
    <row r="458">
      <c r="A458" s="26"/>
      <c r="B458" s="27"/>
      <c r="I458" s="27"/>
    </row>
    <row r="459">
      <c r="A459" s="26"/>
      <c r="B459" s="27"/>
      <c r="I459" s="27"/>
    </row>
    <row r="460">
      <c r="A460" s="26"/>
      <c r="B460" s="27"/>
      <c r="I460" s="27"/>
    </row>
    <row r="461">
      <c r="A461" s="26"/>
      <c r="B461" s="27"/>
      <c r="I461" s="27"/>
    </row>
    <row r="462">
      <c r="A462" s="26"/>
      <c r="B462" s="27"/>
      <c r="I462" s="27"/>
    </row>
    <row r="463">
      <c r="A463" s="26"/>
      <c r="B463" s="27"/>
      <c r="I463" s="27"/>
    </row>
    <row r="464">
      <c r="A464" s="26"/>
      <c r="B464" s="27"/>
      <c r="I464" s="27"/>
    </row>
    <row r="465">
      <c r="A465" s="26"/>
      <c r="B465" s="27"/>
      <c r="I465" s="27"/>
    </row>
    <row r="466">
      <c r="A466" s="26"/>
      <c r="B466" s="27"/>
      <c r="I466" s="27"/>
    </row>
    <row r="467">
      <c r="A467" s="26"/>
      <c r="B467" s="27"/>
      <c r="I467" s="27"/>
    </row>
    <row r="468">
      <c r="A468" s="26"/>
      <c r="B468" s="27"/>
      <c r="I468" s="27"/>
    </row>
    <row r="469">
      <c r="A469" s="26"/>
      <c r="B469" s="27"/>
      <c r="I469" s="27"/>
    </row>
    <row r="470">
      <c r="A470" s="26"/>
      <c r="B470" s="27"/>
      <c r="I470" s="27"/>
    </row>
    <row r="471">
      <c r="A471" s="26"/>
      <c r="B471" s="27"/>
      <c r="I471" s="27"/>
    </row>
    <row r="472">
      <c r="A472" s="26"/>
      <c r="B472" s="27"/>
      <c r="I472" s="27"/>
    </row>
    <row r="473">
      <c r="A473" s="26"/>
      <c r="B473" s="27"/>
      <c r="I473" s="27"/>
    </row>
    <row r="474">
      <c r="A474" s="26"/>
      <c r="B474" s="27"/>
      <c r="I474" s="27"/>
    </row>
    <row r="475">
      <c r="A475" s="26"/>
      <c r="B475" s="27"/>
      <c r="I475" s="27"/>
    </row>
    <row r="476">
      <c r="A476" s="26"/>
      <c r="B476" s="27"/>
      <c r="I476" s="27"/>
    </row>
    <row r="477">
      <c r="A477" s="26"/>
      <c r="B477" s="27"/>
      <c r="I477" s="27"/>
    </row>
    <row r="478">
      <c r="A478" s="26"/>
      <c r="B478" s="27"/>
      <c r="I478" s="27"/>
    </row>
    <row r="479">
      <c r="A479" s="26"/>
      <c r="B479" s="27"/>
      <c r="I479" s="27"/>
    </row>
    <row r="480">
      <c r="A480" s="26"/>
      <c r="B480" s="27"/>
      <c r="I480" s="27"/>
    </row>
    <row r="481">
      <c r="A481" s="26"/>
      <c r="B481" s="27"/>
      <c r="I481" s="27"/>
    </row>
    <row r="482">
      <c r="A482" s="26"/>
      <c r="B482" s="27"/>
      <c r="I482" s="27"/>
    </row>
    <row r="483">
      <c r="A483" s="26"/>
      <c r="B483" s="27"/>
      <c r="I483" s="27"/>
    </row>
    <row r="484">
      <c r="A484" s="26"/>
      <c r="B484" s="27"/>
      <c r="I484" s="27"/>
    </row>
    <row r="485">
      <c r="A485" s="26"/>
      <c r="B485" s="27"/>
      <c r="I485" s="27"/>
    </row>
    <row r="486">
      <c r="A486" s="26"/>
      <c r="B486" s="27"/>
      <c r="I486" s="27"/>
    </row>
    <row r="487">
      <c r="A487" s="26"/>
      <c r="B487" s="27"/>
      <c r="I487" s="27"/>
    </row>
    <row r="488">
      <c r="A488" s="26"/>
      <c r="B488" s="27"/>
      <c r="I488" s="27"/>
    </row>
    <row r="489">
      <c r="A489" s="26"/>
      <c r="B489" s="27"/>
      <c r="I489" s="27"/>
    </row>
    <row r="490">
      <c r="A490" s="26"/>
      <c r="B490" s="27"/>
      <c r="I490" s="27"/>
    </row>
    <row r="491">
      <c r="A491" s="26"/>
      <c r="B491" s="27"/>
      <c r="I491" s="27"/>
    </row>
    <row r="492">
      <c r="A492" s="26"/>
      <c r="B492" s="27"/>
      <c r="I492" s="27"/>
    </row>
    <row r="493">
      <c r="A493" s="26"/>
      <c r="B493" s="27"/>
      <c r="I493" s="27"/>
    </row>
    <row r="494">
      <c r="A494" s="26"/>
      <c r="B494" s="27"/>
      <c r="I494" s="27"/>
    </row>
    <row r="495">
      <c r="A495" s="26"/>
      <c r="B495" s="27"/>
      <c r="I495" s="27"/>
    </row>
    <row r="496">
      <c r="A496" s="26"/>
      <c r="B496" s="27"/>
      <c r="I496" s="27"/>
    </row>
    <row r="497">
      <c r="A497" s="26"/>
      <c r="B497" s="27"/>
      <c r="I497" s="27"/>
    </row>
    <row r="498">
      <c r="A498" s="26"/>
      <c r="B498" s="27"/>
      <c r="I498" s="27"/>
    </row>
    <row r="499">
      <c r="A499" s="26"/>
      <c r="B499" s="27"/>
      <c r="I499" s="27"/>
    </row>
    <row r="500">
      <c r="A500" s="26"/>
      <c r="B500" s="27"/>
      <c r="I500" s="27"/>
    </row>
    <row r="501">
      <c r="A501" s="26"/>
      <c r="B501" s="27"/>
      <c r="I501" s="27"/>
    </row>
    <row r="502">
      <c r="A502" s="26"/>
      <c r="B502" s="27"/>
      <c r="I502" s="27"/>
    </row>
    <row r="503">
      <c r="A503" s="26"/>
      <c r="B503" s="27"/>
      <c r="I503" s="27"/>
    </row>
    <row r="504">
      <c r="A504" s="26"/>
      <c r="B504" s="27"/>
      <c r="I504" s="27"/>
    </row>
    <row r="505">
      <c r="A505" s="26"/>
      <c r="B505" s="27"/>
      <c r="I505" s="27"/>
    </row>
    <row r="506">
      <c r="A506" s="26"/>
      <c r="B506" s="27"/>
      <c r="I506" s="27"/>
    </row>
    <row r="507">
      <c r="A507" s="26"/>
      <c r="B507" s="27"/>
      <c r="I507" s="27"/>
    </row>
    <row r="508">
      <c r="A508" s="26"/>
      <c r="B508" s="27"/>
      <c r="I508" s="27"/>
    </row>
    <row r="509">
      <c r="A509" s="26"/>
      <c r="B509" s="27"/>
      <c r="I509" s="27"/>
    </row>
    <row r="510">
      <c r="A510" s="26"/>
      <c r="B510" s="27"/>
      <c r="I510" s="27"/>
    </row>
    <row r="511">
      <c r="A511" s="26"/>
      <c r="B511" s="27"/>
      <c r="I511" s="27"/>
    </row>
    <row r="512">
      <c r="A512" s="26"/>
      <c r="B512" s="27"/>
      <c r="I512" s="27"/>
    </row>
    <row r="513">
      <c r="A513" s="26"/>
      <c r="B513" s="27"/>
      <c r="I513" s="27"/>
    </row>
    <row r="514">
      <c r="A514" s="26"/>
      <c r="B514" s="27"/>
      <c r="I514" s="27"/>
    </row>
    <row r="515">
      <c r="A515" s="26"/>
      <c r="B515" s="27"/>
      <c r="I515" s="27"/>
    </row>
    <row r="516">
      <c r="A516" s="26"/>
      <c r="B516" s="27"/>
      <c r="I516" s="27"/>
    </row>
    <row r="517">
      <c r="A517" s="26"/>
      <c r="B517" s="27"/>
      <c r="I517" s="27"/>
    </row>
    <row r="518">
      <c r="A518" s="26"/>
      <c r="B518" s="27"/>
      <c r="I518" s="27"/>
    </row>
    <row r="519">
      <c r="A519" s="26"/>
      <c r="B519" s="27"/>
      <c r="I519" s="27"/>
    </row>
    <row r="520">
      <c r="A520" s="26"/>
      <c r="B520" s="27"/>
      <c r="I520" s="27"/>
    </row>
    <row r="521">
      <c r="A521" s="26"/>
      <c r="B521" s="27"/>
      <c r="I521" s="27"/>
    </row>
    <row r="522">
      <c r="A522" s="26"/>
      <c r="B522" s="27"/>
      <c r="I522" s="27"/>
    </row>
    <row r="523">
      <c r="A523" s="26"/>
      <c r="B523" s="27"/>
      <c r="I523" s="27"/>
    </row>
    <row r="524">
      <c r="A524" s="26"/>
      <c r="B524" s="27"/>
      <c r="I524" s="27"/>
    </row>
    <row r="525">
      <c r="A525" s="26"/>
      <c r="B525" s="27"/>
      <c r="I525" s="27"/>
    </row>
    <row r="526">
      <c r="A526" s="26"/>
      <c r="B526" s="27"/>
      <c r="I526" s="27"/>
    </row>
    <row r="527">
      <c r="A527" s="26"/>
      <c r="B527" s="27"/>
      <c r="I527" s="27"/>
    </row>
    <row r="528">
      <c r="A528" s="26"/>
      <c r="B528" s="27"/>
      <c r="I528" s="27"/>
    </row>
    <row r="529">
      <c r="A529" s="26"/>
      <c r="B529" s="27"/>
      <c r="I529" s="27"/>
    </row>
    <row r="530">
      <c r="A530" s="26"/>
      <c r="B530" s="27"/>
      <c r="I530" s="27"/>
    </row>
    <row r="531">
      <c r="A531" s="26"/>
      <c r="B531" s="27"/>
      <c r="I531" s="27"/>
    </row>
    <row r="532">
      <c r="A532" s="26"/>
      <c r="B532" s="27"/>
      <c r="I532" s="27"/>
    </row>
    <row r="533">
      <c r="A533" s="26"/>
      <c r="B533" s="27"/>
      <c r="I533" s="27"/>
    </row>
    <row r="534">
      <c r="A534" s="26"/>
      <c r="B534" s="27"/>
      <c r="I534" s="27"/>
    </row>
    <row r="535">
      <c r="A535" s="26"/>
      <c r="B535" s="27"/>
      <c r="I535" s="27"/>
    </row>
    <row r="536">
      <c r="A536" s="26"/>
      <c r="B536" s="27"/>
      <c r="I536" s="27"/>
    </row>
    <row r="537">
      <c r="A537" s="26"/>
      <c r="B537" s="27"/>
      <c r="I537" s="27"/>
    </row>
    <row r="538">
      <c r="A538" s="26"/>
      <c r="B538" s="27"/>
      <c r="I538" s="27"/>
    </row>
    <row r="539">
      <c r="A539" s="26"/>
      <c r="B539" s="27"/>
      <c r="I539" s="27"/>
    </row>
    <row r="540">
      <c r="A540" s="26"/>
      <c r="B540" s="27"/>
      <c r="I540" s="27"/>
    </row>
    <row r="541">
      <c r="A541" s="26"/>
      <c r="B541" s="27"/>
      <c r="I541" s="27"/>
    </row>
    <row r="542">
      <c r="A542" s="26"/>
      <c r="B542" s="27"/>
      <c r="I542" s="27"/>
    </row>
    <row r="543">
      <c r="A543" s="26"/>
      <c r="B543" s="27"/>
      <c r="I543" s="27"/>
    </row>
    <row r="544">
      <c r="A544" s="26"/>
      <c r="B544" s="27"/>
      <c r="I544" s="27"/>
    </row>
    <row r="545">
      <c r="A545" s="26"/>
      <c r="B545" s="27"/>
      <c r="I545" s="27"/>
    </row>
    <row r="546">
      <c r="A546" s="26"/>
      <c r="B546" s="27"/>
      <c r="I546" s="27"/>
    </row>
    <row r="547">
      <c r="A547" s="26"/>
      <c r="B547" s="27"/>
      <c r="I547" s="27"/>
    </row>
    <row r="548">
      <c r="A548" s="26"/>
      <c r="B548" s="27"/>
      <c r="I548" s="27"/>
    </row>
    <row r="549">
      <c r="A549" s="26"/>
      <c r="B549" s="27"/>
      <c r="I549" s="27"/>
    </row>
    <row r="550">
      <c r="A550" s="26"/>
      <c r="B550" s="27"/>
      <c r="I550" s="27"/>
    </row>
    <row r="551">
      <c r="A551" s="26"/>
      <c r="B551" s="27"/>
      <c r="I551" s="27"/>
    </row>
    <row r="552">
      <c r="A552" s="26"/>
      <c r="B552" s="27"/>
      <c r="I552" s="27"/>
    </row>
    <row r="553">
      <c r="A553" s="26"/>
      <c r="B553" s="27"/>
      <c r="I553" s="27"/>
    </row>
    <row r="554">
      <c r="A554" s="26"/>
      <c r="B554" s="27"/>
      <c r="I554" s="27"/>
    </row>
    <row r="555">
      <c r="A555" s="26"/>
      <c r="B555" s="27"/>
      <c r="I555" s="27"/>
    </row>
    <row r="556">
      <c r="A556" s="26"/>
      <c r="B556" s="27"/>
      <c r="I556" s="27"/>
    </row>
    <row r="557">
      <c r="A557" s="26"/>
      <c r="B557" s="27"/>
      <c r="I557" s="27"/>
    </row>
    <row r="558">
      <c r="A558" s="26"/>
      <c r="B558" s="27"/>
      <c r="I558" s="27"/>
    </row>
    <row r="559">
      <c r="A559" s="26"/>
      <c r="B559" s="27"/>
      <c r="I559" s="27"/>
    </row>
    <row r="560">
      <c r="A560" s="26"/>
      <c r="B560" s="27"/>
      <c r="I560" s="27"/>
    </row>
    <row r="561">
      <c r="A561" s="26"/>
      <c r="B561" s="27"/>
      <c r="I561" s="27"/>
    </row>
    <row r="562">
      <c r="A562" s="26"/>
      <c r="B562" s="27"/>
      <c r="I562" s="27"/>
    </row>
    <row r="563">
      <c r="A563" s="26"/>
      <c r="B563" s="27"/>
      <c r="I563" s="27"/>
    </row>
    <row r="564">
      <c r="A564" s="26"/>
      <c r="B564" s="27"/>
      <c r="I564" s="27"/>
    </row>
    <row r="565">
      <c r="A565" s="26"/>
      <c r="B565" s="27"/>
      <c r="I565" s="27"/>
    </row>
    <row r="566">
      <c r="A566" s="26"/>
      <c r="B566" s="27"/>
      <c r="I566" s="27"/>
    </row>
    <row r="567">
      <c r="A567" s="26"/>
      <c r="B567" s="27"/>
      <c r="I567" s="27"/>
    </row>
    <row r="568">
      <c r="A568" s="26"/>
      <c r="B568" s="27"/>
      <c r="I568" s="27"/>
    </row>
    <row r="569">
      <c r="A569" s="26"/>
      <c r="B569" s="27"/>
      <c r="I569" s="27"/>
    </row>
    <row r="570">
      <c r="A570" s="26"/>
      <c r="B570" s="27"/>
      <c r="I570" s="27"/>
    </row>
    <row r="571">
      <c r="A571" s="26"/>
      <c r="B571" s="27"/>
      <c r="I571" s="27"/>
    </row>
    <row r="572">
      <c r="A572" s="26"/>
      <c r="B572" s="27"/>
      <c r="I572" s="27"/>
    </row>
    <row r="573">
      <c r="A573" s="26"/>
      <c r="B573" s="27"/>
      <c r="I573" s="27"/>
    </row>
    <row r="574">
      <c r="A574" s="26"/>
      <c r="B574" s="27"/>
      <c r="I574" s="27"/>
    </row>
    <row r="575">
      <c r="A575" s="26"/>
      <c r="B575" s="27"/>
      <c r="I575" s="27"/>
    </row>
    <row r="576">
      <c r="A576" s="26"/>
      <c r="B576" s="27"/>
      <c r="I576" s="27"/>
    </row>
    <row r="577">
      <c r="A577" s="26"/>
      <c r="B577" s="27"/>
      <c r="I577" s="27"/>
    </row>
    <row r="578">
      <c r="A578" s="26"/>
      <c r="B578" s="27"/>
      <c r="I578" s="27"/>
    </row>
    <row r="579">
      <c r="A579" s="26"/>
      <c r="B579" s="27"/>
      <c r="I579" s="27"/>
    </row>
    <row r="580">
      <c r="A580" s="26"/>
      <c r="B580" s="27"/>
      <c r="I580" s="27"/>
    </row>
    <row r="581">
      <c r="A581" s="26"/>
      <c r="B581" s="27"/>
      <c r="I581" s="27"/>
    </row>
    <row r="582">
      <c r="A582" s="26"/>
      <c r="B582" s="27"/>
      <c r="I582" s="27"/>
    </row>
    <row r="583">
      <c r="A583" s="26"/>
      <c r="B583" s="27"/>
      <c r="I583" s="27"/>
    </row>
    <row r="584">
      <c r="A584" s="26"/>
      <c r="B584" s="27"/>
      <c r="I584" s="27"/>
    </row>
    <row r="585">
      <c r="A585" s="26"/>
      <c r="B585" s="27"/>
      <c r="I585" s="27"/>
    </row>
    <row r="586">
      <c r="A586" s="26"/>
      <c r="B586" s="27"/>
      <c r="I586" s="27"/>
    </row>
    <row r="587">
      <c r="A587" s="26"/>
      <c r="B587" s="27"/>
      <c r="I587" s="27"/>
    </row>
    <row r="588">
      <c r="A588" s="26"/>
      <c r="B588" s="27"/>
      <c r="I588" s="27"/>
    </row>
    <row r="589">
      <c r="A589" s="26"/>
      <c r="B589" s="27"/>
      <c r="I589" s="27"/>
    </row>
    <row r="590">
      <c r="A590" s="26"/>
      <c r="B590" s="27"/>
      <c r="I590" s="27"/>
    </row>
    <row r="591">
      <c r="A591" s="26"/>
      <c r="B591" s="27"/>
      <c r="I591" s="27"/>
    </row>
    <row r="592">
      <c r="A592" s="26"/>
      <c r="B592" s="27"/>
      <c r="I592" s="27"/>
    </row>
    <row r="593">
      <c r="A593" s="26"/>
      <c r="B593" s="27"/>
      <c r="I593" s="27"/>
    </row>
    <row r="594">
      <c r="A594" s="26"/>
      <c r="B594" s="27"/>
      <c r="I594" s="27"/>
    </row>
    <row r="595">
      <c r="A595" s="26"/>
      <c r="B595" s="27"/>
      <c r="I595" s="27"/>
    </row>
    <row r="596">
      <c r="A596" s="26"/>
      <c r="B596" s="27"/>
      <c r="I596" s="27"/>
    </row>
    <row r="597">
      <c r="A597" s="26"/>
      <c r="B597" s="27"/>
      <c r="I597" s="27"/>
    </row>
    <row r="598">
      <c r="A598" s="26"/>
      <c r="B598" s="27"/>
      <c r="I598" s="27"/>
    </row>
    <row r="599">
      <c r="A599" s="26"/>
      <c r="B599" s="27"/>
      <c r="I599" s="27"/>
    </row>
    <row r="600">
      <c r="A600" s="26"/>
      <c r="B600" s="27"/>
      <c r="I600" s="27"/>
    </row>
    <row r="601">
      <c r="A601" s="26"/>
      <c r="B601" s="27"/>
      <c r="I601" s="27"/>
    </row>
    <row r="602">
      <c r="A602" s="26"/>
      <c r="B602" s="27"/>
      <c r="I602" s="27"/>
    </row>
    <row r="603">
      <c r="A603" s="26"/>
      <c r="B603" s="27"/>
      <c r="I603" s="27"/>
    </row>
    <row r="604">
      <c r="A604" s="26"/>
      <c r="B604" s="27"/>
      <c r="I604" s="27"/>
    </row>
    <row r="605">
      <c r="A605" s="26"/>
      <c r="B605" s="27"/>
      <c r="I605" s="27"/>
    </row>
    <row r="606">
      <c r="A606" s="26"/>
      <c r="B606" s="27"/>
      <c r="I606" s="27"/>
    </row>
    <row r="607">
      <c r="A607" s="26"/>
      <c r="B607" s="27"/>
      <c r="I607" s="27"/>
    </row>
    <row r="608">
      <c r="A608" s="26"/>
      <c r="B608" s="27"/>
      <c r="I608" s="27"/>
    </row>
    <row r="609">
      <c r="A609" s="26"/>
      <c r="B609" s="27"/>
      <c r="I609" s="27"/>
    </row>
    <row r="610">
      <c r="A610" s="26"/>
      <c r="B610" s="27"/>
      <c r="I610" s="27"/>
    </row>
    <row r="611">
      <c r="A611" s="26"/>
      <c r="B611" s="27"/>
      <c r="I611" s="27"/>
    </row>
    <row r="612">
      <c r="A612" s="26"/>
      <c r="B612" s="27"/>
      <c r="I612" s="27"/>
    </row>
    <row r="613">
      <c r="A613" s="26"/>
      <c r="B613" s="27"/>
      <c r="I613" s="27"/>
    </row>
    <row r="614">
      <c r="A614" s="26"/>
      <c r="B614" s="27"/>
      <c r="I614" s="27"/>
    </row>
    <row r="615">
      <c r="A615" s="26"/>
      <c r="B615" s="27"/>
      <c r="I615" s="27"/>
    </row>
    <row r="616">
      <c r="A616" s="26"/>
      <c r="B616" s="27"/>
      <c r="I616" s="27"/>
    </row>
    <row r="617">
      <c r="A617" s="26"/>
      <c r="B617" s="27"/>
      <c r="I617" s="27"/>
    </row>
    <row r="618">
      <c r="A618" s="26"/>
      <c r="B618" s="27"/>
      <c r="I618" s="27"/>
    </row>
    <row r="619">
      <c r="A619" s="26"/>
      <c r="B619" s="27"/>
      <c r="I619" s="27"/>
    </row>
    <row r="620">
      <c r="A620" s="26"/>
      <c r="B620" s="27"/>
      <c r="I620" s="27"/>
    </row>
    <row r="621">
      <c r="A621" s="26"/>
      <c r="B621" s="27"/>
      <c r="I621" s="27"/>
    </row>
    <row r="622">
      <c r="A622" s="26"/>
      <c r="B622" s="27"/>
      <c r="I622" s="27"/>
    </row>
    <row r="623">
      <c r="A623" s="26"/>
      <c r="B623" s="27"/>
      <c r="I623" s="27"/>
    </row>
    <row r="624">
      <c r="A624" s="26"/>
      <c r="B624" s="27"/>
      <c r="I624" s="27"/>
    </row>
    <row r="625">
      <c r="A625" s="26"/>
      <c r="B625" s="27"/>
      <c r="I625" s="27"/>
    </row>
    <row r="626">
      <c r="A626" s="26"/>
      <c r="B626" s="27"/>
      <c r="I626" s="27"/>
    </row>
    <row r="627">
      <c r="A627" s="26"/>
      <c r="B627" s="27"/>
      <c r="I627" s="27"/>
    </row>
    <row r="628">
      <c r="A628" s="26"/>
      <c r="B628" s="27"/>
      <c r="I628" s="27"/>
    </row>
    <row r="629">
      <c r="A629" s="26"/>
      <c r="B629" s="27"/>
      <c r="I629" s="27"/>
    </row>
    <row r="630">
      <c r="A630" s="26"/>
      <c r="B630" s="27"/>
      <c r="I630" s="27"/>
    </row>
    <row r="631">
      <c r="A631" s="26"/>
      <c r="B631" s="27"/>
      <c r="I631" s="27"/>
    </row>
    <row r="632">
      <c r="A632" s="26"/>
      <c r="B632" s="27"/>
      <c r="I632" s="27"/>
    </row>
    <row r="633">
      <c r="A633" s="26"/>
      <c r="B633" s="27"/>
      <c r="I633" s="27"/>
    </row>
    <row r="634">
      <c r="A634" s="26"/>
      <c r="B634" s="27"/>
      <c r="I634" s="27"/>
    </row>
    <row r="635">
      <c r="A635" s="26"/>
      <c r="B635" s="27"/>
      <c r="I635" s="27"/>
    </row>
    <row r="636">
      <c r="A636" s="26"/>
      <c r="B636" s="27"/>
      <c r="I636" s="27"/>
    </row>
    <row r="637">
      <c r="A637" s="26"/>
      <c r="B637" s="27"/>
      <c r="I637" s="27"/>
    </row>
    <row r="638">
      <c r="A638" s="26"/>
      <c r="B638" s="27"/>
      <c r="I638" s="27"/>
    </row>
    <row r="639">
      <c r="A639" s="26"/>
      <c r="B639" s="27"/>
      <c r="I639" s="27"/>
    </row>
    <row r="640">
      <c r="A640" s="26"/>
      <c r="B640" s="27"/>
      <c r="I640" s="27"/>
    </row>
    <row r="641">
      <c r="A641" s="26"/>
      <c r="B641" s="27"/>
      <c r="I641" s="27"/>
    </row>
    <row r="642">
      <c r="A642" s="26"/>
      <c r="B642" s="27"/>
      <c r="I642" s="27"/>
    </row>
    <row r="643">
      <c r="A643" s="26"/>
      <c r="B643" s="27"/>
      <c r="I643" s="27"/>
    </row>
    <row r="644">
      <c r="A644" s="26"/>
      <c r="B644" s="27"/>
      <c r="I644" s="27"/>
    </row>
    <row r="645">
      <c r="A645" s="26"/>
      <c r="B645" s="27"/>
      <c r="I645" s="27"/>
    </row>
    <row r="646">
      <c r="A646" s="26"/>
      <c r="B646" s="27"/>
      <c r="I646" s="27"/>
    </row>
    <row r="647">
      <c r="A647" s="26"/>
      <c r="B647" s="27"/>
      <c r="I647" s="27"/>
    </row>
    <row r="648">
      <c r="A648" s="26"/>
      <c r="B648" s="27"/>
      <c r="I648" s="27"/>
    </row>
    <row r="649">
      <c r="A649" s="26"/>
      <c r="B649" s="27"/>
      <c r="I649" s="27"/>
    </row>
    <row r="650">
      <c r="A650" s="26"/>
      <c r="B650" s="27"/>
      <c r="I650" s="27"/>
    </row>
    <row r="651">
      <c r="A651" s="26"/>
      <c r="B651" s="27"/>
      <c r="I651" s="27"/>
    </row>
    <row r="652">
      <c r="A652" s="26"/>
      <c r="B652" s="27"/>
      <c r="I652" s="27"/>
    </row>
    <row r="653">
      <c r="A653" s="26"/>
      <c r="B653" s="27"/>
      <c r="I653" s="27"/>
    </row>
    <row r="654">
      <c r="A654" s="26"/>
      <c r="B654" s="27"/>
      <c r="I654" s="27"/>
    </row>
    <row r="655">
      <c r="A655" s="26"/>
      <c r="B655" s="27"/>
      <c r="I655" s="27"/>
    </row>
    <row r="656">
      <c r="A656" s="26"/>
      <c r="B656" s="27"/>
      <c r="I656" s="27"/>
    </row>
    <row r="657">
      <c r="A657" s="26"/>
      <c r="B657" s="27"/>
      <c r="I657" s="27"/>
    </row>
    <row r="658">
      <c r="A658" s="26"/>
      <c r="B658" s="27"/>
      <c r="I658" s="27"/>
    </row>
    <row r="659">
      <c r="A659" s="26"/>
      <c r="B659" s="27"/>
      <c r="I659" s="27"/>
    </row>
    <row r="660">
      <c r="A660" s="26"/>
      <c r="B660" s="27"/>
      <c r="I660" s="27"/>
    </row>
    <row r="661">
      <c r="A661" s="26"/>
      <c r="B661" s="27"/>
      <c r="I661" s="27"/>
    </row>
    <row r="662">
      <c r="A662" s="26"/>
      <c r="B662" s="27"/>
      <c r="I662" s="27"/>
    </row>
    <row r="663">
      <c r="A663" s="26"/>
      <c r="B663" s="27"/>
      <c r="I663" s="27"/>
    </row>
    <row r="664">
      <c r="A664" s="26"/>
      <c r="B664" s="27"/>
      <c r="I664" s="27"/>
    </row>
    <row r="665">
      <c r="A665" s="26"/>
      <c r="B665" s="27"/>
      <c r="I665" s="27"/>
    </row>
    <row r="666">
      <c r="A666" s="26"/>
      <c r="B666" s="27"/>
      <c r="I666" s="27"/>
    </row>
    <row r="667">
      <c r="A667" s="26"/>
      <c r="B667" s="27"/>
      <c r="I667" s="27"/>
    </row>
    <row r="668">
      <c r="A668" s="26"/>
      <c r="B668" s="27"/>
      <c r="I668" s="27"/>
    </row>
    <row r="669">
      <c r="A669" s="26"/>
      <c r="B669" s="27"/>
      <c r="I669" s="27"/>
    </row>
    <row r="670">
      <c r="A670" s="26"/>
      <c r="B670" s="27"/>
      <c r="I670" s="27"/>
    </row>
    <row r="671">
      <c r="A671" s="26"/>
      <c r="B671" s="27"/>
      <c r="I671" s="27"/>
    </row>
    <row r="672">
      <c r="A672" s="26"/>
      <c r="B672" s="27"/>
      <c r="I672" s="27"/>
    </row>
    <row r="673">
      <c r="A673" s="26"/>
      <c r="B673" s="27"/>
      <c r="I673" s="27"/>
    </row>
    <row r="674">
      <c r="A674" s="26"/>
      <c r="B674" s="27"/>
      <c r="I674" s="27"/>
    </row>
    <row r="675">
      <c r="A675" s="26"/>
      <c r="B675" s="27"/>
      <c r="I675" s="27"/>
    </row>
    <row r="676">
      <c r="A676" s="26"/>
      <c r="B676" s="27"/>
      <c r="I676" s="27"/>
    </row>
    <row r="677">
      <c r="A677" s="26"/>
      <c r="B677" s="27"/>
      <c r="I677" s="27"/>
    </row>
    <row r="678">
      <c r="A678" s="26"/>
      <c r="B678" s="27"/>
      <c r="I678" s="27"/>
    </row>
    <row r="679">
      <c r="A679" s="26"/>
      <c r="B679" s="27"/>
      <c r="I679" s="27"/>
    </row>
    <row r="680">
      <c r="A680" s="26"/>
      <c r="B680" s="27"/>
      <c r="I680" s="27"/>
    </row>
    <row r="681">
      <c r="A681" s="26"/>
      <c r="B681" s="27"/>
      <c r="I681" s="27"/>
    </row>
    <row r="682">
      <c r="A682" s="26"/>
      <c r="B682" s="27"/>
      <c r="I682" s="27"/>
    </row>
    <row r="683">
      <c r="A683" s="26"/>
      <c r="B683" s="27"/>
      <c r="I683" s="27"/>
    </row>
    <row r="684">
      <c r="A684" s="26"/>
      <c r="B684" s="27"/>
      <c r="I684" s="27"/>
    </row>
    <row r="685">
      <c r="A685" s="26"/>
      <c r="B685" s="27"/>
      <c r="I685" s="27"/>
    </row>
    <row r="686">
      <c r="A686" s="26"/>
      <c r="B686" s="27"/>
      <c r="I686" s="27"/>
    </row>
    <row r="687">
      <c r="A687" s="26"/>
      <c r="B687" s="27"/>
      <c r="I687" s="27"/>
    </row>
    <row r="688">
      <c r="A688" s="26"/>
      <c r="B688" s="27"/>
      <c r="I688" s="27"/>
    </row>
    <row r="689">
      <c r="A689" s="26"/>
      <c r="B689" s="27"/>
      <c r="I689" s="27"/>
    </row>
    <row r="690">
      <c r="A690" s="26"/>
      <c r="B690" s="27"/>
      <c r="I690" s="27"/>
    </row>
    <row r="691">
      <c r="A691" s="26"/>
      <c r="B691" s="27"/>
      <c r="I691" s="27"/>
    </row>
    <row r="692">
      <c r="A692" s="26"/>
      <c r="B692" s="27"/>
      <c r="I692" s="27"/>
    </row>
    <row r="693">
      <c r="A693" s="26"/>
      <c r="B693" s="27"/>
      <c r="I693" s="27"/>
    </row>
    <row r="694">
      <c r="A694" s="26"/>
      <c r="B694" s="27"/>
      <c r="I694" s="27"/>
    </row>
    <row r="695">
      <c r="A695" s="26"/>
      <c r="B695" s="27"/>
      <c r="I695" s="27"/>
    </row>
    <row r="696">
      <c r="A696" s="26"/>
      <c r="B696" s="27"/>
      <c r="I696" s="27"/>
    </row>
    <row r="697">
      <c r="A697" s="26"/>
      <c r="B697" s="27"/>
      <c r="I697" s="27"/>
    </row>
    <row r="698">
      <c r="A698" s="26"/>
      <c r="B698" s="27"/>
      <c r="I698" s="27"/>
    </row>
    <row r="699">
      <c r="A699" s="26"/>
      <c r="B699" s="27"/>
      <c r="I699" s="27"/>
    </row>
    <row r="700">
      <c r="A700" s="26"/>
      <c r="B700" s="27"/>
      <c r="I700" s="27"/>
    </row>
    <row r="701">
      <c r="A701" s="26"/>
      <c r="B701" s="27"/>
      <c r="I701" s="27"/>
    </row>
    <row r="702">
      <c r="A702" s="26"/>
      <c r="B702" s="27"/>
      <c r="I702" s="27"/>
    </row>
    <row r="703">
      <c r="A703" s="26"/>
      <c r="B703" s="27"/>
      <c r="I703" s="27"/>
    </row>
    <row r="704">
      <c r="A704" s="26"/>
      <c r="B704" s="27"/>
      <c r="I704" s="27"/>
    </row>
    <row r="705">
      <c r="A705" s="26"/>
      <c r="B705" s="27"/>
      <c r="I705" s="27"/>
    </row>
    <row r="706">
      <c r="A706" s="26"/>
      <c r="B706" s="27"/>
      <c r="I706" s="27"/>
    </row>
    <row r="707">
      <c r="A707" s="26"/>
      <c r="B707" s="27"/>
      <c r="I707" s="27"/>
    </row>
    <row r="708">
      <c r="A708" s="26"/>
      <c r="B708" s="27"/>
      <c r="I708" s="27"/>
    </row>
    <row r="709">
      <c r="A709" s="26"/>
      <c r="B709" s="27"/>
      <c r="I709" s="27"/>
    </row>
    <row r="710">
      <c r="A710" s="26"/>
      <c r="B710" s="27"/>
      <c r="I710" s="27"/>
    </row>
    <row r="711">
      <c r="A711" s="26"/>
      <c r="B711" s="27"/>
      <c r="I711" s="27"/>
    </row>
    <row r="712">
      <c r="A712" s="26"/>
      <c r="B712" s="27"/>
      <c r="I712" s="27"/>
    </row>
    <row r="713">
      <c r="A713" s="26"/>
      <c r="B713" s="27"/>
      <c r="I713" s="27"/>
    </row>
    <row r="714">
      <c r="A714" s="26"/>
      <c r="B714" s="27"/>
      <c r="I714" s="27"/>
    </row>
    <row r="715">
      <c r="A715" s="26"/>
      <c r="B715" s="27"/>
      <c r="I715" s="27"/>
    </row>
    <row r="716">
      <c r="A716" s="26"/>
      <c r="B716" s="27"/>
      <c r="I716" s="27"/>
    </row>
    <row r="717">
      <c r="A717" s="26"/>
      <c r="B717" s="27"/>
      <c r="I717" s="27"/>
    </row>
    <row r="718">
      <c r="A718" s="26"/>
      <c r="B718" s="27"/>
      <c r="I718" s="27"/>
    </row>
    <row r="719">
      <c r="A719" s="26"/>
      <c r="B719" s="27"/>
      <c r="I719" s="27"/>
    </row>
    <row r="720">
      <c r="A720" s="26"/>
      <c r="B720" s="27"/>
      <c r="I720" s="27"/>
    </row>
    <row r="721">
      <c r="A721" s="26"/>
      <c r="B721" s="27"/>
      <c r="I721" s="27"/>
    </row>
    <row r="722">
      <c r="A722" s="26"/>
      <c r="B722" s="27"/>
      <c r="I722" s="27"/>
    </row>
    <row r="723">
      <c r="A723" s="26"/>
      <c r="B723" s="27"/>
      <c r="I723" s="27"/>
    </row>
    <row r="724">
      <c r="A724" s="26"/>
      <c r="B724" s="27"/>
      <c r="I724" s="27"/>
    </row>
    <row r="725">
      <c r="A725" s="26"/>
      <c r="B725" s="27"/>
      <c r="I725" s="27"/>
    </row>
    <row r="726">
      <c r="A726" s="26"/>
      <c r="B726" s="27"/>
      <c r="I726" s="27"/>
    </row>
    <row r="727">
      <c r="A727" s="26"/>
      <c r="B727" s="27"/>
      <c r="I727" s="27"/>
    </row>
    <row r="728">
      <c r="A728" s="26"/>
      <c r="B728" s="27"/>
      <c r="I728" s="27"/>
    </row>
    <row r="729">
      <c r="A729" s="26"/>
      <c r="B729" s="27"/>
      <c r="I729" s="27"/>
    </row>
    <row r="730">
      <c r="A730" s="26"/>
      <c r="B730" s="27"/>
      <c r="I730" s="27"/>
    </row>
    <row r="731">
      <c r="A731" s="26"/>
      <c r="B731" s="27"/>
      <c r="I731" s="27"/>
    </row>
    <row r="732">
      <c r="A732" s="26"/>
      <c r="B732" s="27"/>
      <c r="I732" s="27"/>
    </row>
    <row r="733">
      <c r="A733" s="26"/>
      <c r="B733" s="27"/>
      <c r="I733" s="27"/>
    </row>
    <row r="734">
      <c r="A734" s="26"/>
      <c r="B734" s="27"/>
      <c r="I734" s="27"/>
    </row>
    <row r="735">
      <c r="A735" s="26"/>
      <c r="B735" s="27"/>
      <c r="I735" s="27"/>
    </row>
    <row r="736">
      <c r="A736" s="26"/>
      <c r="B736" s="27"/>
      <c r="I736" s="27"/>
    </row>
    <row r="737">
      <c r="A737" s="26"/>
      <c r="B737" s="27"/>
      <c r="I737" s="27"/>
    </row>
    <row r="738">
      <c r="A738" s="26"/>
      <c r="B738" s="27"/>
      <c r="I738" s="27"/>
    </row>
    <row r="739">
      <c r="A739" s="26"/>
      <c r="B739" s="27"/>
      <c r="I739" s="27"/>
    </row>
    <row r="740">
      <c r="A740" s="26"/>
      <c r="B740" s="27"/>
      <c r="I740" s="27"/>
    </row>
    <row r="741">
      <c r="A741" s="26"/>
      <c r="B741" s="27"/>
      <c r="I741" s="27"/>
    </row>
    <row r="742">
      <c r="A742" s="26"/>
      <c r="B742" s="27"/>
      <c r="I742" s="27"/>
    </row>
    <row r="743">
      <c r="A743" s="26"/>
      <c r="B743" s="27"/>
      <c r="I743" s="27"/>
    </row>
    <row r="744">
      <c r="A744" s="26"/>
      <c r="B744" s="27"/>
      <c r="I744" s="27"/>
    </row>
    <row r="745">
      <c r="A745" s="26"/>
      <c r="B745" s="27"/>
      <c r="I745" s="27"/>
    </row>
    <row r="746">
      <c r="A746" s="26"/>
      <c r="B746" s="27"/>
      <c r="I746" s="27"/>
    </row>
    <row r="747">
      <c r="A747" s="26"/>
      <c r="B747" s="27"/>
      <c r="I747" s="27"/>
    </row>
    <row r="748">
      <c r="A748" s="26"/>
      <c r="B748" s="27"/>
      <c r="I748" s="27"/>
    </row>
    <row r="749">
      <c r="A749" s="26"/>
      <c r="B749" s="27"/>
      <c r="I749" s="27"/>
    </row>
    <row r="750">
      <c r="A750" s="26"/>
      <c r="B750" s="27"/>
      <c r="I750" s="27"/>
    </row>
    <row r="751">
      <c r="A751" s="26"/>
      <c r="B751" s="27"/>
      <c r="I751" s="27"/>
    </row>
    <row r="752">
      <c r="A752" s="26"/>
      <c r="B752" s="27"/>
      <c r="I752" s="27"/>
    </row>
    <row r="753">
      <c r="A753" s="26"/>
      <c r="B753" s="27"/>
      <c r="I753" s="27"/>
    </row>
    <row r="754">
      <c r="A754" s="26"/>
      <c r="B754" s="27"/>
      <c r="I754" s="27"/>
    </row>
    <row r="755">
      <c r="A755" s="26"/>
      <c r="B755" s="27"/>
      <c r="I755" s="27"/>
    </row>
    <row r="756">
      <c r="A756" s="26"/>
      <c r="B756" s="27"/>
      <c r="I756" s="27"/>
    </row>
    <row r="757">
      <c r="A757" s="26"/>
      <c r="B757" s="27"/>
      <c r="I757" s="27"/>
    </row>
    <row r="758">
      <c r="A758" s="26"/>
      <c r="B758" s="27"/>
      <c r="I758" s="27"/>
    </row>
    <row r="759">
      <c r="A759" s="26"/>
      <c r="B759" s="27"/>
      <c r="I759" s="27"/>
    </row>
    <row r="760">
      <c r="A760" s="26"/>
      <c r="B760" s="27"/>
      <c r="I760" s="27"/>
    </row>
    <row r="761">
      <c r="A761" s="26"/>
      <c r="B761" s="27"/>
      <c r="I761" s="27"/>
    </row>
    <row r="762">
      <c r="A762" s="26"/>
      <c r="B762" s="27"/>
      <c r="I762" s="27"/>
    </row>
    <row r="763">
      <c r="A763" s="26"/>
      <c r="B763" s="27"/>
      <c r="I763" s="27"/>
    </row>
    <row r="764">
      <c r="A764" s="26"/>
      <c r="B764" s="27"/>
      <c r="I764" s="27"/>
    </row>
    <row r="765">
      <c r="A765" s="26"/>
      <c r="B765" s="27"/>
      <c r="I765" s="27"/>
    </row>
    <row r="766">
      <c r="A766" s="26"/>
      <c r="B766" s="27"/>
      <c r="I766" s="27"/>
    </row>
    <row r="767">
      <c r="A767" s="26"/>
      <c r="B767" s="27"/>
      <c r="I767" s="27"/>
    </row>
    <row r="768">
      <c r="A768" s="26"/>
      <c r="B768" s="27"/>
      <c r="I768" s="27"/>
    </row>
    <row r="769">
      <c r="A769" s="26"/>
      <c r="B769" s="27"/>
      <c r="I769" s="27"/>
    </row>
    <row r="770">
      <c r="A770" s="26"/>
      <c r="B770" s="27"/>
      <c r="I770" s="27"/>
    </row>
    <row r="771">
      <c r="A771" s="26"/>
      <c r="B771" s="27"/>
      <c r="I771" s="27"/>
    </row>
    <row r="772">
      <c r="A772" s="26"/>
      <c r="B772" s="27"/>
      <c r="I772" s="27"/>
    </row>
    <row r="773">
      <c r="A773" s="26"/>
      <c r="B773" s="27"/>
      <c r="I773" s="27"/>
    </row>
    <row r="774">
      <c r="A774" s="26"/>
      <c r="B774" s="27"/>
      <c r="I774" s="27"/>
    </row>
    <row r="775">
      <c r="A775" s="26"/>
      <c r="B775" s="27"/>
      <c r="I775" s="27"/>
    </row>
    <row r="776">
      <c r="A776" s="26"/>
      <c r="B776" s="27"/>
      <c r="I776" s="27"/>
    </row>
    <row r="777">
      <c r="A777" s="26"/>
      <c r="B777" s="27"/>
      <c r="I777" s="27"/>
    </row>
    <row r="778">
      <c r="A778" s="26"/>
      <c r="B778" s="27"/>
      <c r="I778" s="27"/>
    </row>
    <row r="779">
      <c r="A779" s="26"/>
      <c r="B779" s="27"/>
      <c r="I779" s="27"/>
    </row>
    <row r="780">
      <c r="A780" s="26"/>
      <c r="B780" s="27"/>
      <c r="I780" s="27"/>
    </row>
    <row r="781">
      <c r="A781" s="26"/>
      <c r="B781" s="27"/>
      <c r="I781" s="27"/>
    </row>
    <row r="782">
      <c r="A782" s="26"/>
      <c r="B782" s="27"/>
      <c r="I782" s="27"/>
    </row>
    <row r="783">
      <c r="A783" s="26"/>
      <c r="B783" s="27"/>
      <c r="I783" s="27"/>
    </row>
    <row r="784">
      <c r="A784" s="26"/>
      <c r="B784" s="27"/>
      <c r="I784" s="27"/>
    </row>
    <row r="785">
      <c r="A785" s="26"/>
      <c r="B785" s="27"/>
      <c r="I785" s="27"/>
    </row>
    <row r="786">
      <c r="A786" s="26"/>
      <c r="B786" s="27"/>
      <c r="I786" s="27"/>
    </row>
    <row r="787">
      <c r="A787" s="26"/>
      <c r="B787" s="27"/>
      <c r="I787" s="27"/>
    </row>
    <row r="788">
      <c r="A788" s="26"/>
      <c r="B788" s="27"/>
      <c r="I788" s="27"/>
    </row>
    <row r="789">
      <c r="A789" s="26"/>
      <c r="B789" s="27"/>
      <c r="I789" s="27"/>
    </row>
    <row r="790">
      <c r="A790" s="26"/>
      <c r="B790" s="27"/>
      <c r="I790" s="27"/>
    </row>
    <row r="791">
      <c r="A791" s="26"/>
      <c r="B791" s="27"/>
      <c r="I791" s="27"/>
    </row>
    <row r="792">
      <c r="A792" s="26"/>
      <c r="B792" s="27"/>
      <c r="I792" s="27"/>
    </row>
    <row r="793">
      <c r="A793" s="26"/>
      <c r="B793" s="27"/>
      <c r="I793" s="27"/>
    </row>
    <row r="794">
      <c r="A794" s="26"/>
      <c r="B794" s="27"/>
      <c r="I794" s="27"/>
    </row>
    <row r="795">
      <c r="A795" s="26"/>
      <c r="B795" s="27"/>
      <c r="I795" s="27"/>
    </row>
    <row r="796">
      <c r="A796" s="26"/>
      <c r="B796" s="27"/>
      <c r="I796" s="27"/>
    </row>
    <row r="797">
      <c r="A797" s="26"/>
      <c r="B797" s="27"/>
      <c r="I797" s="27"/>
    </row>
    <row r="798">
      <c r="A798" s="26"/>
      <c r="B798" s="27"/>
      <c r="I798" s="27"/>
    </row>
    <row r="799">
      <c r="A799" s="26"/>
      <c r="B799" s="27"/>
      <c r="I799" s="27"/>
    </row>
    <row r="800">
      <c r="A800" s="26"/>
      <c r="B800" s="27"/>
      <c r="I800" s="27"/>
    </row>
    <row r="801">
      <c r="A801" s="26"/>
      <c r="B801" s="27"/>
      <c r="I801" s="27"/>
    </row>
    <row r="802">
      <c r="A802" s="26"/>
      <c r="B802" s="27"/>
      <c r="I802" s="27"/>
    </row>
    <row r="803">
      <c r="A803" s="26"/>
      <c r="B803" s="27"/>
      <c r="I803" s="27"/>
    </row>
    <row r="804">
      <c r="A804" s="26"/>
      <c r="B804" s="27"/>
      <c r="I804" s="27"/>
    </row>
    <row r="805">
      <c r="A805" s="26"/>
      <c r="B805" s="27"/>
      <c r="I805" s="27"/>
    </row>
    <row r="806">
      <c r="A806" s="26"/>
      <c r="B806" s="27"/>
      <c r="I806" s="27"/>
    </row>
    <row r="807">
      <c r="A807" s="26"/>
      <c r="B807" s="27"/>
      <c r="I807" s="27"/>
    </row>
    <row r="808">
      <c r="A808" s="26"/>
      <c r="B808" s="27"/>
      <c r="I808" s="27"/>
    </row>
    <row r="809">
      <c r="A809" s="26"/>
      <c r="B809" s="27"/>
      <c r="I809" s="27"/>
    </row>
    <row r="810">
      <c r="A810" s="26"/>
      <c r="B810" s="27"/>
      <c r="I810" s="27"/>
    </row>
    <row r="811">
      <c r="A811" s="26"/>
      <c r="B811" s="27"/>
      <c r="I811" s="27"/>
    </row>
    <row r="812">
      <c r="A812" s="26"/>
      <c r="B812" s="27"/>
      <c r="I812" s="27"/>
    </row>
    <row r="813">
      <c r="A813" s="26"/>
      <c r="B813" s="27"/>
      <c r="I813" s="27"/>
    </row>
    <row r="814">
      <c r="A814" s="26"/>
      <c r="B814" s="27"/>
      <c r="I814" s="27"/>
    </row>
    <row r="815">
      <c r="A815" s="26"/>
      <c r="B815" s="27"/>
      <c r="I815" s="27"/>
    </row>
    <row r="816">
      <c r="A816" s="26"/>
      <c r="B816" s="27"/>
      <c r="I816" s="27"/>
    </row>
    <row r="817">
      <c r="A817" s="26"/>
      <c r="B817" s="27"/>
      <c r="I817" s="27"/>
    </row>
    <row r="818">
      <c r="A818" s="26"/>
      <c r="B818" s="27"/>
      <c r="I818" s="27"/>
    </row>
    <row r="819">
      <c r="A819" s="26"/>
      <c r="B819" s="27"/>
      <c r="I819" s="27"/>
    </row>
    <row r="820">
      <c r="A820" s="26"/>
      <c r="B820" s="27"/>
      <c r="I820" s="27"/>
    </row>
    <row r="821">
      <c r="A821" s="26"/>
      <c r="B821" s="27"/>
      <c r="I821" s="27"/>
    </row>
    <row r="822">
      <c r="A822" s="26"/>
      <c r="B822" s="27"/>
      <c r="I822" s="27"/>
    </row>
    <row r="823">
      <c r="A823" s="26"/>
      <c r="B823" s="27"/>
      <c r="I823" s="27"/>
    </row>
    <row r="824">
      <c r="A824" s="26"/>
      <c r="B824" s="27"/>
      <c r="I824" s="27"/>
    </row>
    <row r="825">
      <c r="A825" s="26"/>
      <c r="B825" s="27"/>
      <c r="I825" s="27"/>
    </row>
    <row r="826">
      <c r="A826" s="26"/>
      <c r="B826" s="27"/>
      <c r="I826" s="27"/>
    </row>
    <row r="827">
      <c r="A827" s="26"/>
      <c r="B827" s="27"/>
      <c r="I827" s="27"/>
    </row>
    <row r="828">
      <c r="A828" s="26"/>
      <c r="B828" s="27"/>
      <c r="I828" s="27"/>
    </row>
    <row r="829">
      <c r="A829" s="26"/>
      <c r="B829" s="27"/>
      <c r="I829" s="27"/>
    </row>
    <row r="830">
      <c r="A830" s="26"/>
      <c r="B830" s="27"/>
      <c r="I830" s="27"/>
    </row>
    <row r="831">
      <c r="A831" s="26"/>
      <c r="B831" s="27"/>
      <c r="I831" s="27"/>
    </row>
    <row r="832">
      <c r="A832" s="26"/>
      <c r="B832" s="27"/>
      <c r="I832" s="27"/>
    </row>
    <row r="833">
      <c r="A833" s="26"/>
      <c r="B833" s="27"/>
      <c r="I833" s="27"/>
    </row>
    <row r="834">
      <c r="A834" s="26"/>
      <c r="B834" s="27"/>
      <c r="I834" s="27"/>
    </row>
    <row r="835">
      <c r="A835" s="26"/>
      <c r="B835" s="27"/>
      <c r="I835" s="27"/>
    </row>
    <row r="836">
      <c r="A836" s="26"/>
      <c r="B836" s="27"/>
      <c r="I836" s="27"/>
    </row>
    <row r="837">
      <c r="A837" s="26"/>
      <c r="B837" s="27"/>
      <c r="I837" s="27"/>
    </row>
    <row r="838">
      <c r="A838" s="26"/>
      <c r="B838" s="27"/>
      <c r="I838" s="27"/>
    </row>
    <row r="839">
      <c r="A839" s="26"/>
      <c r="B839" s="27"/>
      <c r="I839" s="27"/>
    </row>
    <row r="840">
      <c r="A840" s="26"/>
      <c r="B840" s="27"/>
      <c r="I840" s="27"/>
    </row>
    <row r="841">
      <c r="A841" s="26"/>
      <c r="B841" s="27"/>
      <c r="I841" s="27"/>
    </row>
    <row r="842">
      <c r="A842" s="26"/>
      <c r="B842" s="27"/>
      <c r="I842" s="27"/>
    </row>
    <row r="843">
      <c r="A843" s="26"/>
      <c r="B843" s="27"/>
      <c r="I843" s="27"/>
    </row>
    <row r="844">
      <c r="A844" s="26"/>
      <c r="B844" s="27"/>
      <c r="I844" s="27"/>
    </row>
    <row r="845">
      <c r="A845" s="26"/>
      <c r="B845" s="27"/>
      <c r="I845" s="27"/>
    </row>
    <row r="846">
      <c r="A846" s="26"/>
      <c r="B846" s="27"/>
      <c r="I846" s="27"/>
    </row>
    <row r="847">
      <c r="A847" s="26"/>
      <c r="B847" s="27"/>
      <c r="I847" s="27"/>
    </row>
    <row r="848">
      <c r="A848" s="26"/>
      <c r="B848" s="27"/>
      <c r="I848" s="27"/>
    </row>
    <row r="849">
      <c r="A849" s="26"/>
      <c r="B849" s="27"/>
      <c r="I849" s="27"/>
    </row>
    <row r="850">
      <c r="A850" s="26"/>
      <c r="B850" s="27"/>
      <c r="I850" s="27"/>
    </row>
    <row r="851">
      <c r="A851" s="26"/>
      <c r="B851" s="27"/>
      <c r="I851" s="27"/>
    </row>
    <row r="852">
      <c r="A852" s="26"/>
      <c r="B852" s="27"/>
      <c r="I852" s="27"/>
    </row>
    <row r="853">
      <c r="A853" s="26"/>
      <c r="B853" s="27"/>
      <c r="I853" s="27"/>
    </row>
    <row r="854">
      <c r="A854" s="26"/>
      <c r="B854" s="27"/>
      <c r="I854" s="27"/>
    </row>
    <row r="855">
      <c r="A855" s="26"/>
      <c r="B855" s="27"/>
      <c r="I855" s="27"/>
    </row>
    <row r="856">
      <c r="A856" s="26"/>
      <c r="B856" s="27"/>
      <c r="I856" s="27"/>
    </row>
    <row r="857">
      <c r="A857" s="26"/>
      <c r="B857" s="27"/>
      <c r="I857" s="27"/>
    </row>
    <row r="858">
      <c r="A858" s="26"/>
      <c r="B858" s="27"/>
      <c r="I858" s="27"/>
    </row>
    <row r="859">
      <c r="A859" s="26"/>
      <c r="B859" s="27"/>
      <c r="I859" s="27"/>
    </row>
    <row r="860">
      <c r="A860" s="26"/>
      <c r="B860" s="27"/>
      <c r="I860" s="27"/>
    </row>
    <row r="861">
      <c r="A861" s="26"/>
      <c r="B861" s="27"/>
      <c r="I861" s="27"/>
    </row>
    <row r="862">
      <c r="A862" s="26"/>
      <c r="B862" s="27"/>
      <c r="I862" s="27"/>
    </row>
    <row r="863">
      <c r="A863" s="26"/>
      <c r="B863" s="27"/>
      <c r="I863" s="27"/>
    </row>
    <row r="864">
      <c r="A864" s="26"/>
      <c r="B864" s="27"/>
      <c r="I864" s="27"/>
    </row>
    <row r="865">
      <c r="A865" s="26"/>
      <c r="B865" s="27"/>
      <c r="I865" s="27"/>
    </row>
    <row r="866">
      <c r="A866" s="26"/>
      <c r="B866" s="27"/>
      <c r="I866" s="27"/>
    </row>
    <row r="867">
      <c r="A867" s="26"/>
      <c r="B867" s="27"/>
      <c r="I867" s="27"/>
    </row>
    <row r="868">
      <c r="A868" s="26"/>
      <c r="B868" s="27"/>
      <c r="I868" s="27"/>
    </row>
    <row r="869">
      <c r="A869" s="26"/>
      <c r="B869" s="27"/>
      <c r="I869" s="27"/>
    </row>
    <row r="870">
      <c r="A870" s="26"/>
      <c r="B870" s="27"/>
      <c r="I870" s="27"/>
    </row>
    <row r="871">
      <c r="A871" s="26"/>
      <c r="B871" s="27"/>
      <c r="I871" s="27"/>
    </row>
    <row r="872">
      <c r="A872" s="26"/>
      <c r="B872" s="27"/>
      <c r="I872" s="27"/>
    </row>
    <row r="873">
      <c r="A873" s="26"/>
      <c r="B873" s="27"/>
      <c r="I873" s="27"/>
    </row>
    <row r="874">
      <c r="A874" s="26"/>
      <c r="B874" s="27"/>
      <c r="I874" s="27"/>
    </row>
    <row r="875">
      <c r="A875" s="26"/>
      <c r="B875" s="27"/>
      <c r="I875" s="27"/>
    </row>
    <row r="876">
      <c r="A876" s="26"/>
      <c r="B876" s="27"/>
      <c r="I876" s="27"/>
    </row>
    <row r="877">
      <c r="A877" s="26"/>
      <c r="B877" s="27"/>
      <c r="I877" s="27"/>
    </row>
    <row r="878">
      <c r="A878" s="26"/>
      <c r="B878" s="27"/>
      <c r="I878" s="27"/>
    </row>
    <row r="879">
      <c r="A879" s="26"/>
      <c r="B879" s="27"/>
      <c r="I879" s="27"/>
    </row>
    <row r="880">
      <c r="A880" s="26"/>
      <c r="B880" s="27"/>
      <c r="I880" s="27"/>
    </row>
    <row r="881">
      <c r="A881" s="26"/>
      <c r="B881" s="27"/>
      <c r="I881" s="27"/>
    </row>
    <row r="882">
      <c r="A882" s="26"/>
      <c r="B882" s="27"/>
      <c r="I882" s="27"/>
    </row>
    <row r="883">
      <c r="A883" s="26"/>
      <c r="B883" s="27"/>
      <c r="I883" s="27"/>
    </row>
    <row r="884">
      <c r="A884" s="26"/>
      <c r="B884" s="27"/>
      <c r="I884" s="27"/>
    </row>
    <row r="885">
      <c r="A885" s="26"/>
      <c r="B885" s="27"/>
      <c r="I885" s="27"/>
    </row>
    <row r="886">
      <c r="A886" s="26"/>
      <c r="B886" s="27"/>
      <c r="I886" s="27"/>
    </row>
    <row r="887">
      <c r="A887" s="26"/>
      <c r="B887" s="27"/>
      <c r="I887" s="27"/>
    </row>
    <row r="888">
      <c r="A888" s="26"/>
      <c r="B888" s="27"/>
      <c r="I888" s="27"/>
    </row>
    <row r="889">
      <c r="A889" s="26"/>
      <c r="B889" s="27"/>
      <c r="I889" s="27"/>
    </row>
    <row r="890">
      <c r="A890" s="26"/>
      <c r="B890" s="27"/>
      <c r="I890" s="27"/>
    </row>
    <row r="891">
      <c r="A891" s="26"/>
      <c r="B891" s="27"/>
      <c r="I891" s="27"/>
    </row>
    <row r="892">
      <c r="A892" s="26"/>
      <c r="B892" s="27"/>
      <c r="I892" s="27"/>
    </row>
    <row r="893">
      <c r="A893" s="26"/>
      <c r="B893" s="27"/>
      <c r="I893" s="27"/>
    </row>
    <row r="894">
      <c r="A894" s="26"/>
      <c r="B894" s="27"/>
      <c r="I894" s="27"/>
    </row>
    <row r="895">
      <c r="A895" s="26"/>
      <c r="B895" s="27"/>
      <c r="I895" s="27"/>
    </row>
    <row r="896">
      <c r="A896" s="26"/>
      <c r="B896" s="27"/>
      <c r="I896" s="27"/>
    </row>
    <row r="897">
      <c r="A897" s="26"/>
      <c r="B897" s="27"/>
      <c r="I897" s="27"/>
    </row>
    <row r="898">
      <c r="A898" s="26"/>
      <c r="B898" s="27"/>
      <c r="I898" s="27"/>
    </row>
    <row r="899">
      <c r="A899" s="26"/>
      <c r="B899" s="27"/>
      <c r="I899" s="27"/>
    </row>
    <row r="900">
      <c r="A900" s="26"/>
      <c r="B900" s="27"/>
      <c r="I900" s="27"/>
    </row>
    <row r="901">
      <c r="A901" s="26"/>
      <c r="B901" s="27"/>
      <c r="I901" s="27"/>
    </row>
    <row r="902">
      <c r="A902" s="26"/>
      <c r="B902" s="27"/>
      <c r="I902" s="27"/>
    </row>
    <row r="903">
      <c r="A903" s="26"/>
      <c r="B903" s="27"/>
      <c r="I903" s="27"/>
    </row>
    <row r="904">
      <c r="A904" s="26"/>
      <c r="B904" s="27"/>
      <c r="I904" s="27"/>
    </row>
    <row r="905">
      <c r="A905" s="26"/>
      <c r="B905" s="27"/>
      <c r="I905" s="27"/>
    </row>
    <row r="906">
      <c r="A906" s="26"/>
      <c r="B906" s="27"/>
      <c r="I906" s="27"/>
    </row>
    <row r="907">
      <c r="A907" s="26"/>
      <c r="B907" s="27"/>
      <c r="I907" s="27"/>
    </row>
    <row r="908">
      <c r="A908" s="26"/>
      <c r="B908" s="27"/>
      <c r="I908" s="27"/>
    </row>
    <row r="909">
      <c r="A909" s="26"/>
      <c r="B909" s="27"/>
      <c r="I909" s="27"/>
    </row>
    <row r="910">
      <c r="A910" s="26"/>
      <c r="B910" s="27"/>
      <c r="I910" s="27"/>
    </row>
    <row r="911">
      <c r="A911" s="26"/>
      <c r="B911" s="27"/>
      <c r="I911" s="27"/>
    </row>
    <row r="912">
      <c r="A912" s="26"/>
      <c r="B912" s="27"/>
      <c r="I912" s="27"/>
    </row>
    <row r="913">
      <c r="A913" s="26"/>
      <c r="B913" s="27"/>
      <c r="I913" s="27"/>
    </row>
    <row r="914">
      <c r="A914" s="26"/>
      <c r="B914" s="27"/>
      <c r="I914" s="27"/>
    </row>
    <row r="915">
      <c r="A915" s="26"/>
      <c r="B915" s="27"/>
      <c r="I915" s="27"/>
    </row>
    <row r="916">
      <c r="A916" s="26"/>
      <c r="B916" s="27"/>
      <c r="I916" s="27"/>
    </row>
    <row r="917">
      <c r="A917" s="26"/>
      <c r="B917" s="27"/>
      <c r="I917" s="27"/>
    </row>
    <row r="918">
      <c r="A918" s="26"/>
      <c r="B918" s="27"/>
      <c r="I918" s="27"/>
    </row>
    <row r="919">
      <c r="A919" s="26"/>
      <c r="B919" s="27"/>
      <c r="I919" s="27"/>
    </row>
    <row r="920">
      <c r="A920" s="26"/>
      <c r="B920" s="27"/>
      <c r="I920" s="27"/>
    </row>
    <row r="921">
      <c r="A921" s="26"/>
      <c r="B921" s="27"/>
      <c r="I921" s="27"/>
    </row>
    <row r="922">
      <c r="A922" s="26"/>
      <c r="B922" s="27"/>
      <c r="I922" s="27"/>
    </row>
    <row r="923">
      <c r="A923" s="26"/>
      <c r="B923" s="27"/>
      <c r="I923" s="27"/>
    </row>
    <row r="924">
      <c r="A924" s="26"/>
      <c r="B924" s="27"/>
      <c r="I924" s="27"/>
    </row>
    <row r="925">
      <c r="A925" s="26"/>
      <c r="B925" s="27"/>
      <c r="I925" s="27"/>
    </row>
    <row r="926">
      <c r="A926" s="26"/>
      <c r="B926" s="27"/>
      <c r="I926" s="27"/>
    </row>
    <row r="927">
      <c r="A927" s="26"/>
      <c r="B927" s="27"/>
      <c r="I927" s="27"/>
    </row>
    <row r="928">
      <c r="A928" s="26"/>
      <c r="B928" s="27"/>
      <c r="I928" s="27"/>
    </row>
    <row r="929">
      <c r="A929" s="26"/>
      <c r="B929" s="27"/>
      <c r="I929" s="27"/>
    </row>
    <row r="930">
      <c r="A930" s="26"/>
      <c r="B930" s="27"/>
      <c r="I930" s="27"/>
    </row>
    <row r="931">
      <c r="A931" s="26"/>
      <c r="B931" s="27"/>
      <c r="I931" s="27"/>
    </row>
    <row r="932">
      <c r="A932" s="26"/>
      <c r="B932" s="27"/>
      <c r="I932" s="27"/>
    </row>
    <row r="933">
      <c r="A933" s="26"/>
      <c r="B933" s="27"/>
      <c r="I933" s="27"/>
    </row>
    <row r="934">
      <c r="A934" s="26"/>
      <c r="B934" s="27"/>
      <c r="I934" s="27"/>
    </row>
    <row r="935">
      <c r="A935" s="26"/>
      <c r="B935" s="27"/>
      <c r="I935" s="27"/>
    </row>
    <row r="936">
      <c r="A936" s="26"/>
      <c r="B936" s="27"/>
      <c r="I936" s="27"/>
    </row>
    <row r="937">
      <c r="A937" s="26"/>
      <c r="B937" s="27"/>
      <c r="I937" s="27"/>
    </row>
    <row r="938">
      <c r="A938" s="26"/>
      <c r="B938" s="27"/>
      <c r="I938" s="27"/>
    </row>
    <row r="939">
      <c r="A939" s="26"/>
      <c r="B939" s="27"/>
      <c r="I939" s="27"/>
    </row>
    <row r="940">
      <c r="A940" s="26"/>
      <c r="B940" s="27"/>
      <c r="I940" s="27"/>
    </row>
    <row r="941">
      <c r="A941" s="26"/>
      <c r="B941" s="27"/>
      <c r="I941" s="27"/>
    </row>
    <row r="942">
      <c r="A942" s="26"/>
      <c r="B942" s="27"/>
      <c r="I942" s="27"/>
    </row>
    <row r="943">
      <c r="A943" s="26"/>
      <c r="B943" s="27"/>
      <c r="I943" s="27"/>
    </row>
    <row r="944">
      <c r="A944" s="26"/>
      <c r="B944" s="27"/>
      <c r="I944" s="27"/>
    </row>
    <row r="945">
      <c r="A945" s="26"/>
      <c r="B945" s="27"/>
      <c r="I945" s="27"/>
    </row>
    <row r="946">
      <c r="A946" s="26"/>
      <c r="B946" s="27"/>
      <c r="I946" s="27"/>
    </row>
    <row r="947">
      <c r="A947" s="26"/>
      <c r="B947" s="27"/>
      <c r="I947" s="27"/>
    </row>
    <row r="948">
      <c r="A948" s="26"/>
      <c r="B948" s="27"/>
      <c r="I948" s="27"/>
    </row>
    <row r="949">
      <c r="A949" s="26"/>
      <c r="B949" s="27"/>
      <c r="I949" s="27"/>
    </row>
    <row r="950">
      <c r="A950" s="26"/>
      <c r="B950" s="27"/>
      <c r="I950" s="27"/>
    </row>
    <row r="951">
      <c r="A951" s="26"/>
      <c r="B951" s="27"/>
      <c r="I951" s="27"/>
    </row>
    <row r="952">
      <c r="A952" s="26"/>
      <c r="B952" s="27"/>
      <c r="I952" s="27"/>
    </row>
    <row r="953">
      <c r="A953" s="26"/>
      <c r="B953" s="27"/>
      <c r="I953" s="27"/>
    </row>
    <row r="954">
      <c r="A954" s="26"/>
      <c r="B954" s="27"/>
      <c r="I954" s="27"/>
    </row>
    <row r="955">
      <c r="A955" s="26"/>
      <c r="B955" s="27"/>
      <c r="I955" s="27"/>
    </row>
    <row r="956">
      <c r="A956" s="26"/>
      <c r="B956" s="27"/>
      <c r="I956" s="27"/>
    </row>
    <row r="957">
      <c r="A957" s="26"/>
      <c r="B957" s="27"/>
      <c r="I957" s="27"/>
    </row>
    <row r="958">
      <c r="A958" s="26"/>
      <c r="B958" s="27"/>
      <c r="I958" s="27"/>
    </row>
    <row r="959">
      <c r="A959" s="26"/>
      <c r="B959" s="27"/>
      <c r="I959" s="27"/>
    </row>
    <row r="960">
      <c r="A960" s="26"/>
      <c r="B960" s="27"/>
      <c r="I960" s="27"/>
    </row>
    <row r="961">
      <c r="A961" s="26"/>
      <c r="B961" s="27"/>
      <c r="I961" s="27"/>
    </row>
    <row r="962">
      <c r="A962" s="26"/>
      <c r="B962" s="27"/>
      <c r="I962" s="27"/>
    </row>
    <row r="963">
      <c r="A963" s="26"/>
      <c r="B963" s="27"/>
      <c r="I963" s="27"/>
    </row>
    <row r="964">
      <c r="A964" s="26"/>
      <c r="B964" s="27"/>
      <c r="I964" s="27"/>
    </row>
    <row r="965">
      <c r="A965" s="26"/>
      <c r="B965" s="27"/>
      <c r="I965" s="27"/>
    </row>
    <row r="966">
      <c r="A966" s="26"/>
      <c r="B966" s="27"/>
      <c r="I966" s="27"/>
    </row>
    <row r="967">
      <c r="A967" s="26"/>
      <c r="B967" s="27"/>
      <c r="I967" s="27"/>
    </row>
    <row r="968">
      <c r="A968" s="26"/>
      <c r="B968" s="27"/>
      <c r="I968" s="27"/>
    </row>
    <row r="969">
      <c r="A969" s="26"/>
      <c r="B969" s="27"/>
      <c r="I969" s="27"/>
    </row>
    <row r="970">
      <c r="A970" s="26"/>
      <c r="B970" s="27"/>
      <c r="I970" s="27"/>
    </row>
    <row r="971">
      <c r="A971" s="26"/>
      <c r="B971" s="27"/>
      <c r="I971" s="27"/>
    </row>
    <row r="972">
      <c r="A972" s="26"/>
      <c r="B972" s="27"/>
      <c r="I972" s="27"/>
    </row>
    <row r="973">
      <c r="A973" s="26"/>
      <c r="B973" s="27"/>
      <c r="I973" s="27"/>
    </row>
    <row r="974">
      <c r="A974" s="26"/>
      <c r="B974" s="27"/>
      <c r="I974" s="27"/>
    </row>
    <row r="975">
      <c r="A975" s="26"/>
      <c r="B975" s="27"/>
      <c r="I975" s="27"/>
    </row>
    <row r="976">
      <c r="A976" s="26"/>
      <c r="B976" s="27"/>
      <c r="I976" s="27"/>
    </row>
    <row r="977">
      <c r="A977" s="26"/>
      <c r="B977" s="27"/>
      <c r="I977" s="27"/>
    </row>
    <row r="978">
      <c r="A978" s="26"/>
      <c r="B978" s="27"/>
      <c r="I978" s="27"/>
    </row>
    <row r="979">
      <c r="A979" s="26"/>
      <c r="B979" s="27"/>
      <c r="I979" s="27"/>
    </row>
    <row r="980">
      <c r="A980" s="26"/>
      <c r="B980" s="27"/>
      <c r="I980" s="27"/>
    </row>
    <row r="981">
      <c r="A981" s="26"/>
      <c r="B981" s="27"/>
      <c r="I981" s="27"/>
    </row>
    <row r="982">
      <c r="A982" s="26"/>
      <c r="B982" s="27"/>
      <c r="I982" s="27"/>
    </row>
    <row r="983">
      <c r="A983" s="26"/>
      <c r="B983" s="27"/>
      <c r="I983" s="27"/>
    </row>
    <row r="984">
      <c r="A984" s="26"/>
      <c r="B984" s="27"/>
      <c r="I984" s="27"/>
    </row>
    <row r="985">
      <c r="A985" s="26"/>
      <c r="B985" s="27"/>
      <c r="I985" s="27"/>
    </row>
    <row r="986">
      <c r="A986" s="26"/>
      <c r="B986" s="27"/>
      <c r="I986" s="27"/>
    </row>
    <row r="987">
      <c r="A987" s="26"/>
      <c r="B987" s="27"/>
      <c r="I987" s="27"/>
    </row>
    <row r="988">
      <c r="A988" s="26"/>
      <c r="B988" s="27"/>
      <c r="I988" s="27"/>
    </row>
    <row r="989">
      <c r="A989" s="26"/>
      <c r="B989" s="27"/>
      <c r="I989" s="27"/>
    </row>
    <row r="990">
      <c r="A990" s="26"/>
      <c r="B990" s="27"/>
      <c r="I990" s="27"/>
    </row>
    <row r="991">
      <c r="A991" s="26"/>
      <c r="B991" s="27"/>
      <c r="I991" s="27"/>
    </row>
    <row r="992">
      <c r="A992" s="26"/>
      <c r="B992" s="27"/>
      <c r="I992" s="27"/>
    </row>
    <row r="993">
      <c r="A993" s="26"/>
      <c r="B993" s="27"/>
      <c r="I993" s="27"/>
    </row>
    <row r="994">
      <c r="A994" s="26"/>
      <c r="B994" s="27"/>
      <c r="I994" s="27"/>
    </row>
    <row r="995">
      <c r="A995" s="26"/>
      <c r="B995" s="27"/>
      <c r="I995" s="27"/>
    </row>
    <row r="996">
      <c r="A996" s="26"/>
      <c r="B996" s="27"/>
      <c r="I996" s="27"/>
    </row>
    <row r="997">
      <c r="A997" s="26"/>
      <c r="B997" s="27"/>
      <c r="I997" s="27"/>
    </row>
    <row r="998">
      <c r="A998" s="26"/>
      <c r="B998" s="27"/>
      <c r="I998" s="27"/>
    </row>
    <row r="999">
      <c r="A999" s="26"/>
      <c r="B999" s="27"/>
      <c r="I999" s="27"/>
    </row>
  </sheetData>
  <mergeCells count="4">
    <mergeCell ref="C26:I26"/>
    <mergeCell ref="B27:B28"/>
    <mergeCell ref="C27:I28"/>
    <mergeCell ref="C29:I29"/>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12.0</v>
      </c>
    </row>
    <row r="2" ht="22.5" customHeight="1">
      <c r="A2" s="16" t="str">
        <f>IFNA(VLOOKUP(B2,Sprites!$A$2:$B$1200,2,FALSE),"")</f>
        <v/>
      </c>
      <c r="B2" s="17" t="s">
        <v>141</v>
      </c>
      <c r="C2" s="8">
        <v>300.0</v>
      </c>
      <c r="D2" s="8" t="s">
        <v>90</v>
      </c>
      <c r="E2" s="18">
        <v>420.0</v>
      </c>
      <c r="F2" s="8">
        <v>4.0</v>
      </c>
      <c r="H2" s="8">
        <v>7.0</v>
      </c>
      <c r="I2" s="19">
        <v>1.0</v>
      </c>
      <c r="J2" s="14" t="s">
        <v>19</v>
      </c>
      <c r="K2" s="20">
        <f>SUM(C2:C1001)/K1</f>
        <v>298.0833333</v>
      </c>
    </row>
    <row r="3" ht="22.5" customHeight="1">
      <c r="A3" s="16" t="str">
        <f>IFNA(VLOOKUP(B3,Sprites!$A$2:$B$1200,2,FALSE),"")</f>
        <v/>
      </c>
      <c r="B3" s="17" t="s">
        <v>142</v>
      </c>
      <c r="C3" s="8">
        <v>300.0</v>
      </c>
      <c r="D3" s="8" t="s">
        <v>90</v>
      </c>
      <c r="E3" s="18">
        <v>420.0</v>
      </c>
      <c r="F3" s="8">
        <v>4.0</v>
      </c>
      <c r="H3" s="8">
        <v>7.0</v>
      </c>
      <c r="I3" s="19">
        <v>2.0</v>
      </c>
      <c r="J3" s="14" t="s">
        <v>20</v>
      </c>
      <c r="K3" s="20">
        <f>SUM(H2:H1001)/K1</f>
        <v>5.25</v>
      </c>
    </row>
    <row r="4" ht="22.5" customHeight="1">
      <c r="A4" s="16" t="str">
        <f>IFNA(VLOOKUP(B4,Sprites!$A$2:$B$1200,2,FALSE),"")</f>
        <v/>
      </c>
      <c r="B4" s="17" t="s">
        <v>143</v>
      </c>
      <c r="C4" s="8">
        <v>362.0</v>
      </c>
      <c r="D4" s="8" t="s">
        <v>133</v>
      </c>
      <c r="E4" s="18">
        <v>521.0</v>
      </c>
      <c r="F4" s="8">
        <v>7.0</v>
      </c>
      <c r="G4" s="8" t="s">
        <v>24</v>
      </c>
      <c r="H4" s="8">
        <v>7.0</v>
      </c>
      <c r="I4" s="19">
        <v>3.0</v>
      </c>
      <c r="J4" s="14" t="s">
        <v>56</v>
      </c>
      <c r="K4" s="21">
        <f>COUNTIF(D2:D1000, "Roguestone")</f>
        <v>1</v>
      </c>
    </row>
    <row r="5" ht="22.5" customHeight="1">
      <c r="A5" s="16" t="str">
        <f>IFNA(VLOOKUP(B5,Sprites!$A$2:$B$1200,2,FALSE),"")</f>
        <v/>
      </c>
      <c r="B5" s="17" t="s">
        <v>144</v>
      </c>
      <c r="C5" s="8">
        <v>300.0</v>
      </c>
      <c r="D5" s="8" t="s">
        <v>87</v>
      </c>
      <c r="E5" s="18">
        <v>410.0</v>
      </c>
      <c r="F5" s="8">
        <v>2.0</v>
      </c>
      <c r="G5" s="8" t="s">
        <v>38</v>
      </c>
      <c r="H5" s="8">
        <v>7.0</v>
      </c>
      <c r="I5" s="19">
        <v>4.0</v>
      </c>
      <c r="J5" s="14" t="s">
        <v>58</v>
      </c>
      <c r="K5" s="22">
        <f>K4/K1</f>
        <v>0.08333333333</v>
      </c>
    </row>
    <row r="6" ht="22.5" customHeight="1">
      <c r="A6" s="16" t="str">
        <f>IFNA(VLOOKUP(B6,Sprites!$A$2:$B$1200,2,FALSE),"")</f>
        <v/>
      </c>
      <c r="B6" s="17" t="s">
        <v>145</v>
      </c>
      <c r="C6" s="8">
        <v>300.0</v>
      </c>
      <c r="D6" s="8" t="s">
        <v>117</v>
      </c>
      <c r="E6" s="18">
        <v>420.0</v>
      </c>
      <c r="F6" s="8">
        <v>6.0</v>
      </c>
      <c r="H6" s="8">
        <v>6.0</v>
      </c>
      <c r="I6" s="19">
        <v>5.0</v>
      </c>
      <c r="L6" s="23"/>
      <c r="M6" s="24"/>
      <c r="N6" s="23"/>
      <c r="O6" s="24"/>
    </row>
    <row r="7" ht="22.5" customHeight="1">
      <c r="A7" s="16" t="str">
        <f>IFNA(VLOOKUP(B7,Sprites!$A$2:$B$1200,2,FALSE),"")</f>
        <v/>
      </c>
      <c r="B7" s="17" t="s">
        <v>146</v>
      </c>
      <c r="C7" s="8">
        <v>320.0</v>
      </c>
      <c r="D7" s="8" t="s">
        <v>120</v>
      </c>
      <c r="E7" s="18">
        <v>410.0</v>
      </c>
      <c r="F7" s="8">
        <v>11.0</v>
      </c>
      <c r="H7" s="8">
        <v>6.0</v>
      </c>
      <c r="I7" s="19">
        <v>6.0</v>
      </c>
      <c r="M7" s="25"/>
      <c r="O7" s="25"/>
    </row>
    <row r="8" ht="22.5" customHeight="1">
      <c r="A8" s="16" t="str">
        <f>IFNA(VLOOKUP(B8,Sprites!$A$2:$B$1200,2,FALSE),"")</f>
        <v/>
      </c>
      <c r="B8" s="17" t="s">
        <v>116</v>
      </c>
      <c r="C8" s="8">
        <v>300.0</v>
      </c>
      <c r="D8" s="8" t="s">
        <v>117</v>
      </c>
      <c r="E8" s="18">
        <v>420.0</v>
      </c>
      <c r="F8" s="8">
        <v>6.0</v>
      </c>
      <c r="G8" s="8" t="s">
        <v>25</v>
      </c>
      <c r="H8" s="8">
        <v>5.0</v>
      </c>
      <c r="I8" s="19">
        <v>7.0</v>
      </c>
      <c r="M8" s="25"/>
      <c r="O8" s="25"/>
    </row>
    <row r="9" ht="22.5" customHeight="1">
      <c r="A9" s="16" t="str">
        <f>IFNA(VLOOKUP(B9,Sprites!$A$2:$B$1200,2,FALSE),"")</f>
        <v/>
      </c>
      <c r="B9" s="17" t="s">
        <v>147</v>
      </c>
      <c r="C9" s="8">
        <v>320.0</v>
      </c>
      <c r="D9" s="8" t="s">
        <v>117</v>
      </c>
      <c r="E9" s="18">
        <v>423.0</v>
      </c>
      <c r="F9" s="8">
        <v>5.0</v>
      </c>
      <c r="G9" s="8" t="s">
        <v>35</v>
      </c>
      <c r="H9" s="8">
        <v>5.0</v>
      </c>
      <c r="I9" s="19">
        <v>8.0</v>
      </c>
      <c r="M9" s="25"/>
      <c r="O9" s="25"/>
    </row>
    <row r="10" ht="22.5" customHeight="1">
      <c r="A10" s="16" t="str">
        <f>IFNA(VLOOKUP(B10,Sprites!$A$2:$B$1200,2,FALSE),"")</f>
        <v/>
      </c>
      <c r="B10" s="17" t="s">
        <v>148</v>
      </c>
      <c r="C10" s="8">
        <v>300.0</v>
      </c>
      <c r="D10" s="8" t="s">
        <v>51</v>
      </c>
      <c r="E10" s="18">
        <v>420.0</v>
      </c>
      <c r="F10" s="8">
        <v>7.0</v>
      </c>
      <c r="H10" s="8">
        <v>4.0</v>
      </c>
      <c r="I10" s="19">
        <v>9.0</v>
      </c>
      <c r="M10" s="25"/>
      <c r="O10" s="25"/>
    </row>
    <row r="11" ht="22.5" customHeight="1">
      <c r="A11" s="16" t="str">
        <f>IFNA(VLOOKUP(B11,Sprites!$A$2:$B$1200,2,FALSE),"")</f>
        <v/>
      </c>
      <c r="B11" s="17" t="s">
        <v>149</v>
      </c>
      <c r="C11" s="8">
        <v>270.0</v>
      </c>
      <c r="D11" s="8" t="s">
        <v>90</v>
      </c>
      <c r="E11" s="18">
        <v>410.0</v>
      </c>
      <c r="F11" s="8">
        <v>0.0</v>
      </c>
      <c r="G11" s="8" t="s">
        <v>29</v>
      </c>
      <c r="H11" s="8">
        <v>4.0</v>
      </c>
      <c r="I11" s="19">
        <v>10.0</v>
      </c>
      <c r="M11" s="25"/>
      <c r="O11" s="25"/>
    </row>
    <row r="12" ht="22.5" customHeight="1">
      <c r="A12" s="16" t="str">
        <f>IFNA(VLOOKUP(B12,Sprites!$A$2:$B$1200,2,FALSE),"")</f>
        <v/>
      </c>
      <c r="B12" s="17" t="s">
        <v>150</v>
      </c>
      <c r="C12" s="8">
        <v>245.0</v>
      </c>
      <c r="D12" s="8" t="s">
        <v>131</v>
      </c>
      <c r="E12" s="18">
        <v>535.0</v>
      </c>
      <c r="F12" s="8">
        <v>6.0</v>
      </c>
      <c r="G12" s="8" t="s">
        <v>32</v>
      </c>
      <c r="H12" s="8">
        <v>3.0</v>
      </c>
      <c r="I12" s="19">
        <v>11.0</v>
      </c>
      <c r="M12" s="25"/>
      <c r="O12" s="25"/>
    </row>
    <row r="13" ht="22.5" customHeight="1">
      <c r="A13" s="16" t="str">
        <f>IFNA(VLOOKUP(B13,Sprites!$A$2:$B$1200,2,FALSE),"")</f>
        <v/>
      </c>
      <c r="B13" s="17" t="s">
        <v>151</v>
      </c>
      <c r="C13" s="8">
        <v>260.0</v>
      </c>
      <c r="D13" s="8" t="s">
        <v>69</v>
      </c>
      <c r="E13" s="18">
        <v>485.0</v>
      </c>
      <c r="F13" s="8">
        <v>0.0</v>
      </c>
      <c r="G13" s="8" t="s">
        <v>27</v>
      </c>
      <c r="H13" s="8">
        <v>2.0</v>
      </c>
      <c r="I13" s="19">
        <v>12.0</v>
      </c>
      <c r="M13" s="25"/>
      <c r="O13" s="25"/>
    </row>
    <row r="14">
      <c r="A14" s="26" t="str">
        <f>IFNA(VLOOKUP(B14,Sprites!$A$2:$B$1200,2,FALSE),"")</f>
        <v/>
      </c>
      <c r="B14" s="14"/>
      <c r="E14" s="25"/>
      <c r="I14" s="14"/>
      <c r="M14" s="25"/>
      <c r="O14" s="25"/>
    </row>
    <row r="15">
      <c r="A15" s="26" t="str">
        <f>IFNA(VLOOKUP(B15,Sprites!$A$2:$B$1200,2,FALSE),"")</f>
        <v/>
      </c>
      <c r="B15" s="23" t="s">
        <v>137</v>
      </c>
      <c r="C15" s="23" t="s">
        <v>138</v>
      </c>
      <c r="M15" s="25"/>
      <c r="O15" s="25"/>
    </row>
    <row r="16">
      <c r="A16" s="26" t="str">
        <f>IFNA(VLOOKUP(B16,Sprites!$A$2:$B$1200,2,FALSE),"")</f>
        <v/>
      </c>
      <c r="B16" s="33">
        <v>46001.0</v>
      </c>
      <c r="C16" s="36" t="s">
        <v>152</v>
      </c>
      <c r="M16" s="25"/>
      <c r="O16" s="25"/>
    </row>
    <row r="17">
      <c r="A17" s="26" t="str">
        <f>IFNA(VLOOKUP(B17,Sprites!$A$2:$B$1200,2,FALSE),"")</f>
        <v/>
      </c>
      <c r="M17" s="25"/>
      <c r="O17" s="25"/>
    </row>
    <row r="18">
      <c r="A18" s="26" t="str">
        <f>IFNA(VLOOKUP(B18,Sprites!$A$2:$B$1200,2,FALSE),"")</f>
        <v/>
      </c>
      <c r="B18" s="37"/>
      <c r="E18" s="25"/>
      <c r="I18" s="14"/>
      <c r="M18" s="25"/>
      <c r="O18" s="25"/>
    </row>
    <row r="19">
      <c r="A19" s="26" t="str">
        <f>IFNA(VLOOKUP(B19,Sprites!$A$2:$B$1200,2,FALSE),"")</f>
        <v/>
      </c>
      <c r="B19" s="37"/>
      <c r="E19" s="25"/>
      <c r="I19" s="14"/>
      <c r="M19" s="25"/>
      <c r="O19" s="25"/>
    </row>
    <row r="20">
      <c r="A20" s="26" t="str">
        <f>IFNA(VLOOKUP(B20,Sprites!$A$2:$B$1200,2,FALSE),"")</f>
        <v/>
      </c>
      <c r="B20" s="37"/>
      <c r="E20" s="25"/>
      <c r="I20" s="14"/>
      <c r="M20" s="25"/>
      <c r="O20" s="25"/>
    </row>
    <row r="21">
      <c r="A21" s="26" t="str">
        <f>IFNA(VLOOKUP(B21,Sprites!$A$2:$B$1200,2,FALSE),"")</f>
        <v/>
      </c>
      <c r="B21" s="37"/>
      <c r="E21" s="25"/>
      <c r="I21" s="14"/>
      <c r="M21" s="25"/>
      <c r="O21" s="25"/>
    </row>
    <row r="22">
      <c r="A22" s="26" t="str">
        <f>IFNA(VLOOKUP(B22,Sprites!$A$2:$B$1200,2,FALSE),"")</f>
        <v/>
      </c>
      <c r="B22" s="37"/>
      <c r="E22" s="25"/>
      <c r="I22" s="14"/>
      <c r="M22" s="25"/>
      <c r="O22" s="25"/>
    </row>
    <row r="23">
      <c r="A23" s="26" t="str">
        <f>IFNA(VLOOKUP(B23,Sprites!$A$2:$B$1200,2,FALSE),"")</f>
        <v/>
      </c>
      <c r="B23" s="37"/>
      <c r="E23" s="25"/>
      <c r="I23" s="14"/>
      <c r="M23" s="25"/>
      <c r="O23" s="25"/>
    </row>
    <row r="24">
      <c r="A24" s="26" t="str">
        <f>IFNA(VLOOKUP(B24,Sprites!$A$2:$B$1200,2,FALSE),"")</f>
        <v/>
      </c>
      <c r="B24" s="37"/>
      <c r="E24" s="25"/>
      <c r="I24" s="14"/>
      <c r="M24" s="25"/>
      <c r="O24" s="25"/>
    </row>
    <row r="25">
      <c r="A25" s="26" t="str">
        <f>IFNA(VLOOKUP(B25,Sprites!$A$2:$B$1200,2,FALSE),"")</f>
        <v/>
      </c>
      <c r="B25" s="37"/>
      <c r="E25" s="25"/>
      <c r="I25" s="14"/>
      <c r="M25" s="25"/>
      <c r="O25" s="25"/>
    </row>
    <row r="26">
      <c r="A26" s="26" t="str">
        <f>IFNA(VLOOKUP(B26,Sprites!$A$2:$B$1200,2,FALSE),"")</f>
        <v/>
      </c>
      <c r="B26" s="37"/>
      <c r="E26" s="25"/>
      <c r="I26" s="14"/>
      <c r="M26" s="25"/>
      <c r="O26" s="25"/>
    </row>
    <row r="27">
      <c r="A27" s="26" t="str">
        <f>IFNA(VLOOKUP(B27,Sprites!$A$2:$B$1200,2,FALSE),"")</f>
        <v/>
      </c>
      <c r="B27" s="37"/>
      <c r="C27" s="38"/>
      <c r="D27" s="38"/>
      <c r="E27" s="25"/>
      <c r="I27" s="14"/>
      <c r="M27" s="25"/>
      <c r="O27" s="25"/>
    </row>
    <row r="28">
      <c r="A28" s="26" t="str">
        <f>IFNA(VLOOKUP(B28,Sprites!$A$2:$B$1200,2,FALSE),"")</f>
        <v/>
      </c>
      <c r="B28" s="37"/>
      <c r="C28" s="38"/>
      <c r="D28" s="38"/>
      <c r="E28" s="25"/>
      <c r="I28" s="14"/>
      <c r="M28" s="25"/>
      <c r="O28" s="25"/>
    </row>
    <row r="29">
      <c r="A29" s="26" t="str">
        <f>IFNA(VLOOKUP(B29,Sprites!$A$2:$B$1200,2,FALSE),"")</f>
        <v/>
      </c>
      <c r="B29" s="37"/>
      <c r="C29" s="38"/>
      <c r="D29" s="38"/>
      <c r="E29" s="25"/>
      <c r="I29" s="14"/>
      <c r="M29" s="25"/>
      <c r="O29" s="25"/>
    </row>
    <row r="30">
      <c r="A30" s="26" t="str">
        <f>IFNA(VLOOKUP(B30,Sprites!$A$2:$B$1200,2,FALSE),"")</f>
        <v/>
      </c>
      <c r="B30" s="37"/>
      <c r="C30" s="38"/>
      <c r="D30" s="38"/>
      <c r="E30" s="25"/>
      <c r="I30" s="14"/>
      <c r="M30" s="25"/>
      <c r="O30" s="25"/>
    </row>
    <row r="31">
      <c r="A31" s="26" t="str">
        <f>IFNA(VLOOKUP(B31,Sprites!$A$2:$B$1200,2,FALSE),"")</f>
        <v/>
      </c>
      <c r="B31" s="37"/>
      <c r="C31" s="38"/>
      <c r="D31" s="38"/>
      <c r="E31" s="25"/>
      <c r="I31" s="14"/>
      <c r="M31" s="25"/>
      <c r="O31" s="25"/>
    </row>
    <row r="32">
      <c r="A32" s="26" t="str">
        <f>IFNA(VLOOKUP(B32,Sprites!$A$2:$B$1200,2,FALSE),"")</f>
        <v/>
      </c>
      <c r="B32" s="37"/>
      <c r="C32" s="38"/>
      <c r="D32" s="38"/>
      <c r="E32" s="25"/>
      <c r="I32" s="14"/>
      <c r="M32" s="25"/>
      <c r="O32" s="25"/>
    </row>
    <row r="33">
      <c r="A33" s="26" t="str">
        <f>IFNA(VLOOKUP(B33,Sprites!$A$2:$B$1200,2,FALSE),"")</f>
        <v/>
      </c>
      <c r="B33" s="37"/>
      <c r="C33" s="38"/>
      <c r="D33" s="38"/>
      <c r="E33" s="25"/>
      <c r="I33" s="14"/>
      <c r="M33" s="25"/>
      <c r="O33" s="25"/>
    </row>
    <row r="34">
      <c r="A34" s="26" t="str">
        <f>IFNA(VLOOKUP(B34,Sprites!$A$2:$B$1200,2,FALSE),"")</f>
        <v/>
      </c>
      <c r="B34" s="37"/>
      <c r="C34" s="38"/>
      <c r="D34" s="38"/>
      <c r="E34" s="25"/>
      <c r="I34" s="14"/>
      <c r="M34" s="25"/>
      <c r="O34" s="25"/>
    </row>
    <row r="35">
      <c r="A35" s="26" t="str">
        <f>IFNA(VLOOKUP(B35,Sprites!$A$2:$B$1200,2,FALSE),"")</f>
        <v/>
      </c>
      <c r="B35" s="37"/>
      <c r="C35" s="38"/>
      <c r="D35" s="38"/>
      <c r="E35" s="25"/>
      <c r="I35" s="14"/>
      <c r="M35" s="25"/>
      <c r="O35" s="25"/>
    </row>
    <row r="36">
      <c r="A36" s="26" t="str">
        <f>IFNA(VLOOKUP(B36,Sprites!$A$2:$B$1200,2,FALSE),"")</f>
        <v/>
      </c>
      <c r="B36" s="37"/>
      <c r="C36" s="38"/>
      <c r="D36" s="38"/>
      <c r="E36" s="25"/>
      <c r="I36" s="14"/>
      <c r="M36" s="25"/>
      <c r="O36" s="25"/>
    </row>
    <row r="37">
      <c r="A37" s="26" t="str">
        <f>IFNA(VLOOKUP(B37,Sprites!$A$2:$B$1200,2,FALSE),"")</f>
        <v/>
      </c>
      <c r="B37" s="37"/>
      <c r="C37" s="38"/>
      <c r="D37" s="38"/>
      <c r="E37" s="25"/>
      <c r="I37" s="14"/>
      <c r="M37" s="25"/>
      <c r="O37" s="25"/>
    </row>
    <row r="38">
      <c r="A38" s="26" t="str">
        <f>IFNA(VLOOKUP(B38,Sprites!$A$2:$B$1200,2,FALSE),"")</f>
        <v/>
      </c>
      <c r="B38" s="37"/>
      <c r="C38" s="38"/>
      <c r="D38" s="38"/>
      <c r="E38" s="25"/>
      <c r="I38" s="14"/>
      <c r="M38" s="25"/>
      <c r="O38" s="25"/>
    </row>
    <row r="39">
      <c r="A39" s="26" t="str">
        <f>IFNA(VLOOKUP(B39,Sprites!$A$2:$B$1200,2,FALSE),"")</f>
        <v/>
      </c>
      <c r="B39" s="37"/>
      <c r="C39" s="38"/>
      <c r="D39" s="38"/>
      <c r="E39" s="25"/>
      <c r="I39" s="14"/>
      <c r="M39" s="25"/>
      <c r="O39" s="25"/>
    </row>
    <row r="40">
      <c r="A40" s="26" t="str">
        <f>IFNA(VLOOKUP(B40,Sprites!$A$2:$B$1200,2,FALSE),"")</f>
        <v/>
      </c>
      <c r="B40" s="39"/>
      <c r="C40" s="38"/>
      <c r="D40" s="38"/>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mergeCells count="3">
    <mergeCell ref="C15:I15"/>
    <mergeCell ref="B16:B17"/>
    <mergeCell ref="C16:I17"/>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23.0</v>
      </c>
    </row>
    <row r="2" ht="22.5" customHeight="1">
      <c r="A2" s="16" t="str">
        <f>IFNA(VLOOKUP(B2,Sprites!$A$2:$B$1200,2,FALSE),"")</f>
        <v/>
      </c>
      <c r="B2" s="17" t="s">
        <v>153</v>
      </c>
      <c r="C2" s="8">
        <v>405.0</v>
      </c>
      <c r="D2" s="8" t="s">
        <v>113</v>
      </c>
      <c r="E2" s="18">
        <v>505.0</v>
      </c>
      <c r="F2" s="8">
        <v>13.0</v>
      </c>
      <c r="H2" s="8">
        <v>7.0</v>
      </c>
      <c r="I2" s="19">
        <v>1.0</v>
      </c>
      <c r="J2" s="14" t="s">
        <v>19</v>
      </c>
      <c r="K2" s="20">
        <f>SUM(C2:C1000)/K1</f>
        <v>307.4782609</v>
      </c>
    </row>
    <row r="3" ht="22.5" customHeight="1">
      <c r="A3" s="16" t="str">
        <f>IFNA(VLOOKUP(B3,Sprites!$A$2:$B$1200,2,FALSE),"")</f>
        <v/>
      </c>
      <c r="B3" s="17" t="s">
        <v>154</v>
      </c>
      <c r="C3" s="8">
        <v>405.0</v>
      </c>
      <c r="D3" s="8" t="s">
        <v>113</v>
      </c>
      <c r="E3" s="18">
        <v>505.0</v>
      </c>
      <c r="F3" s="8">
        <v>13.0</v>
      </c>
      <c r="H3" s="8">
        <v>7.0</v>
      </c>
      <c r="I3" s="19">
        <v>2.0</v>
      </c>
      <c r="J3" s="14" t="s">
        <v>20</v>
      </c>
      <c r="K3" s="20">
        <f>SUM(H2:H1000)/K1</f>
        <v>4.347826087</v>
      </c>
    </row>
    <row r="4" ht="22.5" customHeight="1">
      <c r="A4" s="16" t="str">
        <f>IFNA(VLOOKUP(B4,Sprites!$A$2:$B$1200,2,FALSE),"")</f>
        <v/>
      </c>
      <c r="B4" s="17" t="s">
        <v>155</v>
      </c>
      <c r="C4" s="8">
        <v>405.0</v>
      </c>
      <c r="D4" s="8" t="s">
        <v>113</v>
      </c>
      <c r="E4" s="18">
        <v>505.0</v>
      </c>
      <c r="F4" s="8">
        <v>12.0</v>
      </c>
      <c r="H4" s="8">
        <v>7.0</v>
      </c>
      <c r="I4" s="19">
        <v>3.0</v>
      </c>
      <c r="J4" s="14" t="s">
        <v>56</v>
      </c>
      <c r="K4" s="21">
        <f>COUNTIF(D2:D1000, "Roguestone")</f>
        <v>3</v>
      </c>
    </row>
    <row r="5" ht="22.5" customHeight="1">
      <c r="A5" s="16" t="str">
        <f>IFNA(VLOOKUP(B5,Sprites!$A$2:$B$1200,2,FALSE),"")</f>
        <v/>
      </c>
      <c r="B5" s="17" t="s">
        <v>156</v>
      </c>
      <c r="C5" s="8">
        <v>300.0</v>
      </c>
      <c r="D5" s="8" t="s">
        <v>63</v>
      </c>
      <c r="E5" s="18">
        <v>370.0</v>
      </c>
      <c r="F5" s="8">
        <v>1.0</v>
      </c>
      <c r="H5" s="8">
        <v>6.0</v>
      </c>
      <c r="I5" s="19">
        <v>4.0</v>
      </c>
      <c r="J5" s="14" t="s">
        <v>58</v>
      </c>
      <c r="K5" s="22">
        <f>K4/K1</f>
        <v>0.1304347826</v>
      </c>
    </row>
    <row r="6" ht="22.5" customHeight="1">
      <c r="A6" s="16" t="str">
        <f>IFNA(VLOOKUP(B6,Sprites!$A$2:$B$1200,2,FALSE),"")</f>
        <v/>
      </c>
      <c r="B6" s="17" t="s">
        <v>157</v>
      </c>
      <c r="C6" s="8">
        <v>360.0</v>
      </c>
      <c r="D6" s="8" t="s">
        <v>90</v>
      </c>
      <c r="E6" s="18">
        <v>490.0</v>
      </c>
      <c r="F6" s="8">
        <v>5.0</v>
      </c>
      <c r="H6" s="8">
        <v>6.0</v>
      </c>
      <c r="I6" s="19">
        <v>5.0</v>
      </c>
      <c r="L6" s="23"/>
      <c r="M6" s="24"/>
      <c r="N6" s="23"/>
      <c r="O6" s="24"/>
    </row>
    <row r="7" ht="22.5" customHeight="1">
      <c r="A7" s="16" t="str">
        <f>IFNA(VLOOKUP(B7,Sprites!$A$2:$B$1200,2,FALSE),"")</f>
        <v/>
      </c>
      <c r="B7" s="17" t="s">
        <v>158</v>
      </c>
      <c r="C7" s="8">
        <v>242.0</v>
      </c>
      <c r="D7" s="8" t="s">
        <v>159</v>
      </c>
      <c r="E7" s="18">
        <v>502.0</v>
      </c>
      <c r="F7" s="8">
        <v>0.0</v>
      </c>
      <c r="G7" s="8" t="s">
        <v>28</v>
      </c>
      <c r="H7" s="8">
        <v>5.0</v>
      </c>
      <c r="I7" s="19">
        <v>6.0</v>
      </c>
      <c r="M7" s="25"/>
      <c r="O7" s="25"/>
    </row>
    <row r="8" ht="22.5" customHeight="1">
      <c r="A8" s="16" t="str">
        <f>IFNA(VLOOKUP(B8,Sprites!$A$2:$B$1200,2,FALSE),"")</f>
        <v/>
      </c>
      <c r="B8" s="17" t="s">
        <v>160</v>
      </c>
      <c r="C8" s="8">
        <v>280.0</v>
      </c>
      <c r="D8" s="8" t="s">
        <v>63</v>
      </c>
      <c r="E8" s="18">
        <v>365.0</v>
      </c>
      <c r="F8" s="8">
        <v>2.0</v>
      </c>
      <c r="H8" s="8">
        <v>5.0</v>
      </c>
      <c r="I8" s="19">
        <v>7.0</v>
      </c>
      <c r="M8" s="25"/>
      <c r="O8" s="25"/>
    </row>
    <row r="9" ht="22.5" customHeight="1">
      <c r="A9" s="16" t="str">
        <f>IFNA(VLOOKUP(B9,Sprites!$A$2:$B$1200,2,FALSE),"")</f>
        <v/>
      </c>
      <c r="B9" s="17" t="s">
        <v>161</v>
      </c>
      <c r="C9" s="8">
        <v>295.0</v>
      </c>
      <c r="D9" s="8" t="s">
        <v>162</v>
      </c>
      <c r="E9" s="18">
        <v>497.0</v>
      </c>
      <c r="F9" s="8">
        <v>5.0</v>
      </c>
      <c r="H9" s="8">
        <v>5.0</v>
      </c>
      <c r="I9" s="19">
        <v>8.0</v>
      </c>
      <c r="M9" s="25"/>
      <c r="O9" s="25"/>
    </row>
    <row r="10" ht="22.5" customHeight="1">
      <c r="A10" s="16" t="str">
        <f>IFNA(VLOOKUP(B10,Sprites!$A$2:$B$1200,2,FALSE),"")</f>
        <v/>
      </c>
      <c r="B10" s="17" t="s">
        <v>163</v>
      </c>
      <c r="C10" s="8">
        <v>330.0</v>
      </c>
      <c r="D10" s="8" t="s">
        <v>90</v>
      </c>
      <c r="E10" s="18">
        <v>480.0</v>
      </c>
      <c r="F10" s="8">
        <v>8.0</v>
      </c>
      <c r="H10" s="8">
        <v>5.0</v>
      </c>
      <c r="I10" s="19">
        <v>9.0</v>
      </c>
      <c r="M10" s="25"/>
      <c r="O10" s="25"/>
    </row>
    <row r="11" ht="22.5" customHeight="1">
      <c r="A11" s="16" t="str">
        <f>IFNA(VLOOKUP(B11,Sprites!$A$2:$B$1200,2,FALSE),"")</f>
        <v/>
      </c>
      <c r="B11" s="17" t="s">
        <v>164</v>
      </c>
      <c r="C11" s="8">
        <v>280.0</v>
      </c>
      <c r="D11" s="8" t="s">
        <v>77</v>
      </c>
      <c r="E11" s="18">
        <v>490.0</v>
      </c>
      <c r="F11" s="8">
        <v>4.0</v>
      </c>
      <c r="G11" s="8" t="s">
        <v>32</v>
      </c>
      <c r="H11" s="8">
        <v>5.0</v>
      </c>
      <c r="I11" s="19">
        <v>10.0</v>
      </c>
      <c r="M11" s="25"/>
      <c r="O11" s="25"/>
    </row>
    <row r="12" ht="22.5" customHeight="1">
      <c r="A12" s="16" t="str">
        <f>IFNA(VLOOKUP(B12,Sprites!$A$2:$B$1200,2,FALSE),"")</f>
        <v/>
      </c>
      <c r="B12" s="17" t="s">
        <v>165</v>
      </c>
      <c r="C12" s="8">
        <v>270.0</v>
      </c>
      <c r="D12" s="8" t="s">
        <v>77</v>
      </c>
      <c r="E12" s="18">
        <v>490.0</v>
      </c>
      <c r="F12" s="8">
        <v>3.0</v>
      </c>
      <c r="H12" s="8">
        <v>5.0</v>
      </c>
      <c r="I12" s="19">
        <v>11.0</v>
      </c>
      <c r="M12" s="25"/>
      <c r="O12" s="25"/>
    </row>
    <row r="13" ht="22.5" customHeight="1">
      <c r="A13" s="16" t="str">
        <f>IFNA(VLOOKUP(B13,Sprites!$A$2:$B$1200,2,FALSE),"")</f>
        <v/>
      </c>
      <c r="B13" s="17" t="s">
        <v>166</v>
      </c>
      <c r="C13" s="8">
        <v>300.0</v>
      </c>
      <c r="D13" s="8" t="s">
        <v>77</v>
      </c>
      <c r="E13" s="18">
        <v>390.0</v>
      </c>
      <c r="F13" s="8">
        <v>5.0</v>
      </c>
      <c r="G13" s="8" t="s">
        <v>24</v>
      </c>
      <c r="H13" s="8">
        <v>4.0</v>
      </c>
      <c r="I13" s="19">
        <v>12.0</v>
      </c>
      <c r="M13" s="25"/>
      <c r="O13" s="25"/>
    </row>
    <row r="14" ht="22.5" customHeight="1">
      <c r="A14" s="16" t="str">
        <f>IFNA(VLOOKUP(B14,Sprites!$A$2:$B$1200,2,FALSE),"")</f>
        <v/>
      </c>
      <c r="B14" s="17" t="s">
        <v>167</v>
      </c>
      <c r="C14" s="8">
        <v>295.0</v>
      </c>
      <c r="D14" s="8" t="s">
        <v>168</v>
      </c>
      <c r="E14" s="18">
        <v>475.0</v>
      </c>
      <c r="F14" s="8">
        <v>4.0</v>
      </c>
      <c r="H14" s="8">
        <v>4.0</v>
      </c>
      <c r="I14" s="19">
        <v>13.0</v>
      </c>
      <c r="M14" s="25"/>
      <c r="O14" s="25"/>
    </row>
    <row r="15" ht="22.5" customHeight="1">
      <c r="A15" s="16" t="str">
        <f>IFNA(VLOOKUP(B15,Sprites!$A$2:$B$1200,2,FALSE),"")</f>
        <v/>
      </c>
      <c r="B15" s="17" t="s">
        <v>169</v>
      </c>
      <c r="C15" s="8">
        <v>330.0</v>
      </c>
      <c r="D15" s="8" t="s">
        <v>69</v>
      </c>
      <c r="E15" s="18">
        <v>480.0</v>
      </c>
      <c r="F15" s="8">
        <v>10.0</v>
      </c>
      <c r="G15" s="8" t="s">
        <v>27</v>
      </c>
      <c r="H15" s="8">
        <v>4.0</v>
      </c>
      <c r="I15" s="19">
        <v>14.0</v>
      </c>
      <c r="M15" s="25"/>
      <c r="O15" s="25"/>
    </row>
    <row r="16" ht="22.5" customHeight="1">
      <c r="A16" s="16" t="str">
        <f>IFNA(VLOOKUP(B16,Sprites!$A$2:$B$1200,2,FALSE),"")</f>
        <v/>
      </c>
      <c r="B16" s="17" t="s">
        <v>170</v>
      </c>
      <c r="C16" s="8">
        <v>289.0</v>
      </c>
      <c r="D16" s="8" t="s">
        <v>69</v>
      </c>
      <c r="E16" s="18">
        <v>481.0</v>
      </c>
      <c r="F16" s="8">
        <v>6.0</v>
      </c>
      <c r="G16" s="8" t="s">
        <v>33</v>
      </c>
      <c r="H16" s="8">
        <v>4.0</v>
      </c>
      <c r="I16" s="19">
        <v>15.0</v>
      </c>
      <c r="M16" s="25"/>
      <c r="O16" s="25"/>
    </row>
    <row r="17" ht="22.5" customHeight="1">
      <c r="A17" s="16" t="str">
        <f>IFNA(VLOOKUP(B17,Sprites!$A$2:$B$1200,2,FALSE),"")</f>
        <v/>
      </c>
      <c r="B17" s="17" t="s">
        <v>171</v>
      </c>
      <c r="C17" s="8">
        <v>240.0</v>
      </c>
      <c r="D17" s="8" t="s">
        <v>61</v>
      </c>
      <c r="E17" s="18">
        <v>350.0</v>
      </c>
      <c r="F17" s="8">
        <v>2.0</v>
      </c>
      <c r="H17" s="8">
        <v>3.0</v>
      </c>
      <c r="I17" s="19">
        <v>16.0</v>
      </c>
      <c r="M17" s="25"/>
      <c r="O17" s="25"/>
    </row>
    <row r="18" ht="22.5" customHeight="1">
      <c r="A18" s="16" t="str">
        <f>IFNA(VLOOKUP(B18,Sprites!$A$2:$B$1200,2,FALSE),"")</f>
        <v/>
      </c>
      <c r="B18" s="17" t="s">
        <v>172</v>
      </c>
      <c r="C18" s="8">
        <v>330.0</v>
      </c>
      <c r="D18" s="8" t="s">
        <v>162</v>
      </c>
      <c r="E18" s="18">
        <v>460.0</v>
      </c>
      <c r="F18" s="8">
        <v>4.0</v>
      </c>
      <c r="H18" s="8">
        <v>3.0</v>
      </c>
      <c r="I18" s="19">
        <v>17.0</v>
      </c>
      <c r="M18" s="25"/>
      <c r="O18" s="25"/>
    </row>
    <row r="19" ht="22.5" customHeight="1">
      <c r="A19" s="16" t="str">
        <f>IFNA(VLOOKUP(B19,Sprites!$A$2:$B$1200,2,FALSE),"")</f>
        <v/>
      </c>
      <c r="B19" s="17" t="s">
        <v>173</v>
      </c>
      <c r="C19" s="8">
        <v>320.0</v>
      </c>
      <c r="D19" s="8" t="s">
        <v>113</v>
      </c>
      <c r="E19" s="18">
        <v>420.0</v>
      </c>
      <c r="F19" s="8">
        <v>8.0</v>
      </c>
      <c r="H19" s="8">
        <v>3.0</v>
      </c>
      <c r="I19" s="19">
        <v>18.0</v>
      </c>
      <c r="M19" s="25"/>
      <c r="O19" s="25"/>
    </row>
    <row r="20" ht="22.5" customHeight="1">
      <c r="A20" s="16" t="str">
        <f>IFNA(VLOOKUP(B20,Sprites!$A$2:$B$1200,2,FALSE),"")</f>
        <v/>
      </c>
      <c r="B20" s="17" t="s">
        <v>174</v>
      </c>
      <c r="C20" s="8">
        <v>272.0</v>
      </c>
      <c r="D20" s="8" t="s">
        <v>69</v>
      </c>
      <c r="E20" s="18">
        <v>495.0</v>
      </c>
      <c r="F20" s="8">
        <v>6.0</v>
      </c>
      <c r="H20" s="8">
        <v>3.0</v>
      </c>
      <c r="I20" s="19">
        <v>19.0</v>
      </c>
      <c r="M20" s="25"/>
      <c r="O20" s="25"/>
    </row>
    <row r="21" ht="22.5" customHeight="1">
      <c r="A21" s="16" t="str">
        <f>IFNA(VLOOKUP(B21,Sprites!$A$2:$B$1200,2,FALSE),"")</f>
        <v/>
      </c>
      <c r="B21" s="17" t="s">
        <v>175</v>
      </c>
      <c r="C21" s="8">
        <v>325.0</v>
      </c>
      <c r="D21" s="8" t="s">
        <v>90</v>
      </c>
      <c r="E21" s="18">
        <v>465.0</v>
      </c>
      <c r="F21" s="8">
        <v>5.0</v>
      </c>
      <c r="G21" s="8" t="s">
        <v>36</v>
      </c>
      <c r="H21" s="8">
        <v>3.0</v>
      </c>
      <c r="I21" s="19">
        <v>20.0</v>
      </c>
      <c r="M21" s="25"/>
      <c r="O21" s="25"/>
    </row>
    <row r="22" ht="22.5" customHeight="1">
      <c r="A22" s="16" t="str">
        <f>IFNA(VLOOKUP(B22,Sprites!$A$2:$B$1200,2,FALSE),"")</f>
        <v/>
      </c>
      <c r="B22" s="17" t="s">
        <v>81</v>
      </c>
      <c r="C22" s="8">
        <v>319.0</v>
      </c>
      <c r="D22" s="8" t="s">
        <v>82</v>
      </c>
      <c r="E22" s="18">
        <v>472.0</v>
      </c>
      <c r="F22" s="8">
        <v>6.0</v>
      </c>
      <c r="G22" s="8" t="s">
        <v>39</v>
      </c>
      <c r="H22" s="8">
        <v>2.0</v>
      </c>
      <c r="I22" s="19">
        <v>21.0</v>
      </c>
      <c r="M22" s="25"/>
      <c r="O22" s="25"/>
    </row>
    <row r="23" ht="22.5" customHeight="1">
      <c r="A23" s="16" t="str">
        <f>IFNA(VLOOKUP(B23,Sprites!$A$2:$B$1200,2,FALSE),"")</f>
        <v/>
      </c>
      <c r="B23" s="17" t="s">
        <v>176</v>
      </c>
      <c r="C23" s="8">
        <v>205.0</v>
      </c>
      <c r="D23" s="8" t="s">
        <v>67</v>
      </c>
      <c r="E23" s="18">
        <v>320.0</v>
      </c>
      <c r="F23" s="8">
        <v>2.0</v>
      </c>
      <c r="H23" s="8">
        <v>2.0</v>
      </c>
      <c r="I23" s="19">
        <v>22.0</v>
      </c>
      <c r="M23" s="25"/>
      <c r="O23" s="25"/>
    </row>
    <row r="24" ht="22.5" customHeight="1">
      <c r="A24" s="16" t="str">
        <f>IFNA(VLOOKUP(B24,Sprites!$A$2:$B$1200,2,FALSE),"")</f>
        <v/>
      </c>
      <c r="B24" s="17" t="s">
        <v>177</v>
      </c>
      <c r="C24" s="8">
        <v>275.0</v>
      </c>
      <c r="D24" s="8" t="s">
        <v>94</v>
      </c>
      <c r="E24" s="18">
        <v>405.0</v>
      </c>
      <c r="F24" s="8">
        <v>0.0</v>
      </c>
      <c r="H24" s="8">
        <v>2.0</v>
      </c>
      <c r="I24" s="19">
        <v>23.0</v>
      </c>
      <c r="M24" s="25"/>
      <c r="O24" s="25"/>
    </row>
    <row r="25">
      <c r="A25" s="26" t="str">
        <f>IFNA(VLOOKUP(B25,Sprites!$A$2:$B$1200,2,FALSE),"")</f>
        <v/>
      </c>
      <c r="B25" s="14"/>
      <c r="E25" s="25"/>
      <c r="I25" s="14"/>
      <c r="M25" s="25"/>
      <c r="O25" s="25"/>
    </row>
    <row r="26">
      <c r="A26" s="26" t="str">
        <f>IFNA(VLOOKUP(B26,Sprites!$A$2:$B$1200,2,FALSE),"")</f>
        <v/>
      </c>
      <c r="B26" s="23" t="s">
        <v>137</v>
      </c>
      <c r="C26" s="23" t="s">
        <v>138</v>
      </c>
      <c r="M26" s="25"/>
      <c r="O26" s="25"/>
    </row>
    <row r="27">
      <c r="A27" s="26" t="str">
        <f>IFNA(VLOOKUP(B27,Sprites!$A$2:$B$1200,2,FALSE),"")</f>
        <v/>
      </c>
      <c r="B27" s="35">
        <v>46001.0</v>
      </c>
      <c r="C27" s="15" t="s">
        <v>178</v>
      </c>
      <c r="E27" s="25"/>
      <c r="I27" s="14"/>
      <c r="M27" s="25"/>
      <c r="O27" s="25"/>
    </row>
    <row r="28">
      <c r="A28" s="26" t="str">
        <f>IFNA(VLOOKUP(B28,Sprites!$A$2:$B$1200,2,FALSE),"")</f>
        <v/>
      </c>
      <c r="B28" s="14"/>
      <c r="E28" s="25"/>
      <c r="I28" s="14"/>
      <c r="M28" s="25"/>
      <c r="O28" s="25"/>
    </row>
    <row r="29">
      <c r="A29" s="26" t="str">
        <f>IFNA(VLOOKUP(B29,Sprites!$A$2:$B$1200,2,FALSE),"")</f>
        <v/>
      </c>
      <c r="B29" s="14"/>
      <c r="E29" s="25"/>
      <c r="I29" s="14"/>
      <c r="M29" s="25"/>
      <c r="O29" s="25"/>
    </row>
    <row r="30">
      <c r="A30" s="26" t="str">
        <f>IFNA(VLOOKUP(B30,Sprites!$A$2:$B$1200,2,FALSE),"")</f>
        <v/>
      </c>
      <c r="B30" s="14"/>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mergeCells count="1">
    <mergeCell ref="C26:I26"/>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18.0</v>
      </c>
    </row>
    <row r="2" ht="22.5" customHeight="1">
      <c r="A2" s="16" t="str">
        <f>IFNA(VLOOKUP(B2,Sprites!$A$2:$B$1200,2,FALSE),"")</f>
        <v/>
      </c>
      <c r="B2" s="17" t="s">
        <v>179</v>
      </c>
      <c r="C2" s="8">
        <v>245.0</v>
      </c>
      <c r="D2" s="8" t="s">
        <v>67</v>
      </c>
      <c r="E2" s="18">
        <v>405.0</v>
      </c>
      <c r="F2" s="8">
        <v>2.0</v>
      </c>
      <c r="H2" s="8">
        <v>6.0</v>
      </c>
      <c r="I2" s="19">
        <v>1.0</v>
      </c>
      <c r="J2" s="14" t="s">
        <v>19</v>
      </c>
      <c r="K2" s="20">
        <f>SUM(C2:C1001)/K1</f>
        <v>280.5</v>
      </c>
    </row>
    <row r="3" ht="22.5" customHeight="1">
      <c r="A3" s="16" t="str">
        <f>IFNA(VLOOKUP(B3,Sprites!$A$2:$B$1200,2,FALSE),"")</f>
        <v/>
      </c>
      <c r="B3" s="17" t="s">
        <v>180</v>
      </c>
      <c r="C3" s="8">
        <v>297.0</v>
      </c>
      <c r="D3" s="8" t="s">
        <v>87</v>
      </c>
      <c r="E3" s="18">
        <v>380.0</v>
      </c>
      <c r="F3" s="8">
        <v>5.0</v>
      </c>
      <c r="G3" s="8" t="s">
        <v>36</v>
      </c>
      <c r="H3" s="8">
        <v>6.0</v>
      </c>
      <c r="I3" s="19">
        <v>2.0</v>
      </c>
      <c r="J3" s="14" t="s">
        <v>20</v>
      </c>
      <c r="K3" s="20">
        <f>SUM(H2:H1001)/K1</f>
        <v>3.611111111</v>
      </c>
    </row>
    <row r="4" ht="22.5" customHeight="1">
      <c r="A4" s="16" t="str">
        <f>IFNA(VLOOKUP(B4,Sprites!$A$2:$B$1200,2,FALSE),"")</f>
        <v/>
      </c>
      <c r="B4" s="17" t="s">
        <v>181</v>
      </c>
      <c r="C4" s="8">
        <v>380.0</v>
      </c>
      <c r="D4" s="8" t="s">
        <v>113</v>
      </c>
      <c r="E4" s="18">
        <v>480.0</v>
      </c>
      <c r="F4" s="8">
        <v>12.0</v>
      </c>
      <c r="G4" s="8" t="s">
        <v>36</v>
      </c>
      <c r="H4" s="8">
        <v>5.0</v>
      </c>
      <c r="I4" s="19">
        <v>3.0</v>
      </c>
      <c r="J4" s="14" t="s">
        <v>56</v>
      </c>
      <c r="K4" s="21">
        <f>COUNTIF(D2:D1000, "Roguestone")</f>
        <v>4</v>
      </c>
    </row>
    <row r="5" ht="22.5" customHeight="1">
      <c r="A5" s="16" t="str">
        <f>IFNA(VLOOKUP(B5,Sprites!$A$2:$B$1200,2,FALSE),"")</f>
        <v/>
      </c>
      <c r="B5" s="17" t="s">
        <v>182</v>
      </c>
      <c r="C5" s="8">
        <v>341.0</v>
      </c>
      <c r="D5" s="8" t="s">
        <v>69</v>
      </c>
      <c r="E5" s="18">
        <v>480.0</v>
      </c>
      <c r="F5" s="8">
        <v>10.0</v>
      </c>
      <c r="H5" s="8">
        <v>5.0</v>
      </c>
      <c r="I5" s="19">
        <v>4.0</v>
      </c>
      <c r="J5" s="14" t="s">
        <v>58</v>
      </c>
      <c r="K5" s="22">
        <f>K4/K1</f>
        <v>0.2222222222</v>
      </c>
    </row>
    <row r="6" ht="22.5" customHeight="1">
      <c r="A6" s="16" t="str">
        <f>IFNA(VLOOKUP(B6,Sprites!$A$2:$B$1200,2,FALSE),"")</f>
        <v/>
      </c>
      <c r="B6" s="17" t="s">
        <v>183</v>
      </c>
      <c r="C6" s="8">
        <v>341.0</v>
      </c>
      <c r="D6" s="8" t="s">
        <v>69</v>
      </c>
      <c r="E6" s="18">
        <v>462.0</v>
      </c>
      <c r="F6" s="8">
        <v>11.0</v>
      </c>
      <c r="H6" s="8">
        <v>5.0</v>
      </c>
      <c r="I6" s="19">
        <v>5.0</v>
      </c>
      <c r="L6" s="23"/>
      <c r="M6" s="24"/>
      <c r="N6" s="23"/>
      <c r="O6" s="24"/>
    </row>
    <row r="7" ht="22.5" customHeight="1">
      <c r="A7" s="16" t="str">
        <f>IFNA(VLOOKUP(B7,Sprites!$A$2:$B$1200,2,FALSE),"")</f>
        <v/>
      </c>
      <c r="B7" s="17" t="s">
        <v>184</v>
      </c>
      <c r="C7" s="8">
        <v>303.0</v>
      </c>
      <c r="D7" s="8" t="s">
        <v>159</v>
      </c>
      <c r="E7" s="18">
        <v>371.0</v>
      </c>
      <c r="F7" s="8">
        <v>2.0</v>
      </c>
      <c r="H7" s="8">
        <v>5.0</v>
      </c>
      <c r="I7" s="19">
        <v>6.0</v>
      </c>
      <c r="M7" s="25"/>
      <c r="O7" s="25"/>
    </row>
    <row r="8" ht="22.5" customHeight="1">
      <c r="A8" s="16" t="str">
        <f>IFNA(VLOOKUP(B8,Sprites!$A$2:$B$1200,2,FALSE),"")</f>
        <v/>
      </c>
      <c r="B8" s="17" t="s">
        <v>185</v>
      </c>
      <c r="C8" s="8">
        <v>270.0</v>
      </c>
      <c r="D8" s="8" t="s">
        <v>69</v>
      </c>
      <c r="E8" s="18">
        <v>495.0</v>
      </c>
      <c r="F8" s="8">
        <v>5.0</v>
      </c>
      <c r="H8" s="8">
        <v>4.0</v>
      </c>
      <c r="I8" s="19">
        <v>7.0</v>
      </c>
      <c r="M8" s="25"/>
      <c r="O8" s="25"/>
    </row>
    <row r="9" ht="22.5" customHeight="1">
      <c r="A9" s="16" t="str">
        <f>IFNA(VLOOKUP(B9,Sprites!$A$2:$B$1200,2,FALSE),"")</f>
        <v/>
      </c>
      <c r="B9" s="17" t="s">
        <v>186</v>
      </c>
      <c r="C9" s="8">
        <v>310.0</v>
      </c>
      <c r="D9" s="8" t="s">
        <v>63</v>
      </c>
      <c r="E9" s="18">
        <v>460.0</v>
      </c>
      <c r="F9" s="8">
        <v>1.0</v>
      </c>
      <c r="G9" s="8" t="s">
        <v>34</v>
      </c>
      <c r="H9" s="8">
        <v>4.0</v>
      </c>
      <c r="I9" s="19">
        <v>8.0</v>
      </c>
      <c r="M9" s="25"/>
      <c r="O9" s="25"/>
    </row>
    <row r="10" ht="22.5" customHeight="1">
      <c r="A10" s="16" t="str">
        <f>IFNA(VLOOKUP(B10,Sprites!$A$2:$B$1200,2,FALSE),"")</f>
        <v/>
      </c>
      <c r="B10" s="17" t="s">
        <v>187</v>
      </c>
      <c r="C10" s="8">
        <v>312.0</v>
      </c>
      <c r="D10" s="8" t="s">
        <v>168</v>
      </c>
      <c r="E10" s="18">
        <v>477.0</v>
      </c>
      <c r="F10" s="8">
        <v>5.0</v>
      </c>
      <c r="H10" s="8">
        <v>4.0</v>
      </c>
      <c r="I10" s="19">
        <v>9.0</v>
      </c>
      <c r="M10" s="25"/>
      <c r="O10" s="25"/>
    </row>
    <row r="11" ht="22.5" customHeight="1">
      <c r="A11" s="16" t="str">
        <f>IFNA(VLOOKUP(B11,Sprites!$A$2:$B$1200,2,FALSE),"")</f>
        <v/>
      </c>
      <c r="B11" s="17" t="s">
        <v>188</v>
      </c>
      <c r="C11" s="8">
        <v>300.0</v>
      </c>
      <c r="D11" s="8" t="s">
        <v>189</v>
      </c>
      <c r="E11" s="18">
        <v>450.0</v>
      </c>
      <c r="F11" s="8">
        <v>2.0</v>
      </c>
      <c r="H11" s="8">
        <v>4.0</v>
      </c>
      <c r="I11" s="19">
        <v>10.0</v>
      </c>
      <c r="M11" s="25"/>
      <c r="O11" s="25"/>
    </row>
    <row r="12" ht="22.5" customHeight="1">
      <c r="A12" s="16" t="str">
        <f>IFNA(VLOOKUP(B12,Sprites!$A$2:$B$1200,2,FALSE),"")</f>
        <v/>
      </c>
      <c r="B12" s="17" t="s">
        <v>76</v>
      </c>
      <c r="C12" s="8">
        <v>304.0</v>
      </c>
      <c r="D12" s="8" t="s">
        <v>77</v>
      </c>
      <c r="E12" s="18">
        <v>464.0</v>
      </c>
      <c r="F12" s="8">
        <v>3.0</v>
      </c>
      <c r="G12" s="8" t="s">
        <v>39</v>
      </c>
      <c r="H12" s="8">
        <v>3.0</v>
      </c>
      <c r="I12" s="19">
        <v>11.0</v>
      </c>
      <c r="M12" s="25"/>
      <c r="O12" s="25"/>
    </row>
    <row r="13" ht="22.5" customHeight="1">
      <c r="A13" s="16" t="str">
        <f>IFNA(VLOOKUP(B13,Sprites!$A$2:$B$1200,2,FALSE),"")</f>
        <v/>
      </c>
      <c r="B13" s="17" t="s">
        <v>190</v>
      </c>
      <c r="C13" s="8">
        <v>285.0</v>
      </c>
      <c r="D13" s="8" t="s">
        <v>87</v>
      </c>
      <c r="E13" s="18">
        <v>405.0</v>
      </c>
      <c r="F13" s="8">
        <v>3.0</v>
      </c>
      <c r="G13" s="8" t="s">
        <v>27</v>
      </c>
      <c r="H13" s="8">
        <v>3.0</v>
      </c>
      <c r="I13" s="19">
        <v>12.0</v>
      </c>
      <c r="M13" s="25"/>
      <c r="O13" s="25"/>
    </row>
    <row r="14" ht="22.5" customHeight="1">
      <c r="A14" s="16" t="str">
        <f>IFNA(VLOOKUP(B14,Sprites!$A$2:$B$1200,2,FALSE),"")</f>
        <v/>
      </c>
      <c r="B14" s="17" t="s">
        <v>191</v>
      </c>
      <c r="C14" s="8">
        <v>280.0</v>
      </c>
      <c r="D14" s="8" t="s">
        <v>69</v>
      </c>
      <c r="E14" s="18">
        <v>480.0</v>
      </c>
      <c r="F14" s="8">
        <v>9.0</v>
      </c>
      <c r="G14" s="8" t="s">
        <v>27</v>
      </c>
      <c r="H14" s="8">
        <v>3.0</v>
      </c>
      <c r="I14" s="19">
        <v>13.0</v>
      </c>
      <c r="M14" s="25"/>
      <c r="O14" s="25"/>
    </row>
    <row r="15" ht="22.5" customHeight="1">
      <c r="A15" s="16" t="str">
        <f>IFNA(VLOOKUP(B15,Sprites!$A$2:$B$1200,2,FALSE),"")</f>
        <v/>
      </c>
      <c r="B15" s="17" t="s">
        <v>130</v>
      </c>
      <c r="C15" s="8">
        <v>265.0</v>
      </c>
      <c r="D15" s="8" t="s">
        <v>131</v>
      </c>
      <c r="E15" s="18">
        <v>370.0</v>
      </c>
      <c r="F15" s="8">
        <v>5.0</v>
      </c>
      <c r="G15" s="8" t="s">
        <v>25</v>
      </c>
      <c r="H15" s="8">
        <v>3.0</v>
      </c>
      <c r="I15" s="19">
        <v>14.0</v>
      </c>
      <c r="M15" s="25"/>
      <c r="O15" s="25"/>
    </row>
    <row r="16" ht="22.5" customHeight="1">
      <c r="A16" s="16" t="str">
        <f>IFNA(VLOOKUP(B16,Sprites!$A$2:$B$1200,2,FALSE),"")</f>
        <v/>
      </c>
      <c r="B16" s="17" t="s">
        <v>192</v>
      </c>
      <c r="C16" s="8">
        <v>218.0</v>
      </c>
      <c r="D16" s="8" t="s">
        <v>67</v>
      </c>
      <c r="E16" s="18">
        <v>323.0</v>
      </c>
      <c r="F16" s="8">
        <v>2.0</v>
      </c>
      <c r="H16" s="8">
        <v>2.0</v>
      </c>
      <c r="I16" s="19">
        <v>15.0</v>
      </c>
      <c r="M16" s="25"/>
      <c r="O16" s="25"/>
    </row>
    <row r="17" ht="22.5" customHeight="1">
      <c r="A17" s="16" t="str">
        <f>IFNA(VLOOKUP(B17,Sprites!$A$2:$B$1200,2,FALSE),"")</f>
        <v/>
      </c>
      <c r="B17" s="17" t="s">
        <v>193</v>
      </c>
      <c r="C17" s="8">
        <v>210.0</v>
      </c>
      <c r="D17" s="8" t="s">
        <v>67</v>
      </c>
      <c r="E17" s="18">
        <v>270.0</v>
      </c>
      <c r="F17" s="8">
        <v>2.0</v>
      </c>
      <c r="G17" s="8" t="s">
        <v>33</v>
      </c>
      <c r="H17" s="8">
        <v>1.0</v>
      </c>
      <c r="I17" s="19">
        <v>16.0</v>
      </c>
      <c r="M17" s="25"/>
      <c r="O17" s="25"/>
    </row>
    <row r="18" ht="22.5" customHeight="1">
      <c r="A18" s="16" t="str">
        <f>IFNA(VLOOKUP(B18,Sprites!$A$2:$B$1200,2,FALSE),"")</f>
        <v/>
      </c>
      <c r="B18" s="17" t="s">
        <v>194</v>
      </c>
      <c r="C18" s="8">
        <v>190.0</v>
      </c>
      <c r="D18" s="8" t="s">
        <v>67</v>
      </c>
      <c r="E18" s="18">
        <v>250.0</v>
      </c>
      <c r="F18" s="8">
        <v>3.0</v>
      </c>
      <c r="G18" s="8" t="s">
        <v>33</v>
      </c>
      <c r="H18" s="8">
        <v>1.0</v>
      </c>
      <c r="I18" s="19">
        <v>17.0</v>
      </c>
      <c r="M18" s="25"/>
      <c r="O18" s="25"/>
    </row>
    <row r="19" ht="22.5" customHeight="1">
      <c r="A19" s="16" t="str">
        <f>IFNA(VLOOKUP(B19,Sprites!$A$2:$B$1200,2,FALSE),"")</f>
        <v/>
      </c>
      <c r="B19" s="17" t="s">
        <v>195</v>
      </c>
      <c r="C19" s="8">
        <v>198.0</v>
      </c>
      <c r="D19" s="8" t="s">
        <v>65</v>
      </c>
      <c r="E19" s="18">
        <v>278.0</v>
      </c>
      <c r="F19" s="8">
        <v>4.0</v>
      </c>
      <c r="G19" s="8" t="s">
        <v>34</v>
      </c>
      <c r="H19" s="8">
        <v>1.0</v>
      </c>
      <c r="I19" s="19">
        <v>18.0</v>
      </c>
      <c r="M19" s="25"/>
      <c r="O19" s="25"/>
    </row>
    <row r="20">
      <c r="A20" s="26" t="str">
        <f>IFNA(VLOOKUP(B20,Sprites!$A$2:$B$1200,2,FALSE),"")</f>
        <v/>
      </c>
      <c r="B20" s="14"/>
      <c r="E20" s="25"/>
      <c r="I20" s="14"/>
      <c r="M20" s="25"/>
      <c r="O20" s="25"/>
    </row>
    <row r="21">
      <c r="A21" s="26" t="str">
        <f>IFNA(VLOOKUP(B21,Sprites!$A$2:$B$1200,2,FALSE),"")</f>
        <v/>
      </c>
      <c r="B21" s="37" t="s">
        <v>137</v>
      </c>
      <c r="C21" s="37" t="s">
        <v>138</v>
      </c>
      <c r="M21" s="25"/>
      <c r="O21" s="25"/>
    </row>
    <row r="22">
      <c r="A22" s="26" t="str">
        <f>IFNA(VLOOKUP(B22,Sprites!$A$2:$B$1200,2,FALSE),"")</f>
        <v/>
      </c>
      <c r="B22" s="33">
        <v>46001.0</v>
      </c>
      <c r="C22" s="40" t="s">
        <v>196</v>
      </c>
      <c r="M22" s="25"/>
      <c r="O22" s="25"/>
    </row>
    <row r="23">
      <c r="A23" s="26" t="str">
        <f>IFNA(VLOOKUP(B23,Sprites!$A$2:$B$1200,2,FALSE),"")</f>
        <v/>
      </c>
      <c r="B23" s="37"/>
      <c r="C23" s="41"/>
      <c r="D23" s="41"/>
      <c r="E23" s="40"/>
      <c r="F23" s="41"/>
      <c r="G23" s="41"/>
      <c r="H23" s="41"/>
      <c r="I23" s="42"/>
      <c r="M23" s="25"/>
      <c r="O23" s="25"/>
    </row>
    <row r="24">
      <c r="A24" s="26" t="str">
        <f>IFNA(VLOOKUP(B24,Sprites!$A$2:$B$1200,2,FALSE),"")</f>
        <v/>
      </c>
      <c r="B24" s="37"/>
      <c r="C24" s="41"/>
      <c r="D24" s="41"/>
      <c r="E24" s="40"/>
      <c r="F24" s="41"/>
      <c r="G24" s="41"/>
      <c r="H24" s="41"/>
      <c r="I24" s="42"/>
      <c r="M24" s="25"/>
      <c r="O24" s="25"/>
    </row>
    <row r="25">
      <c r="A25" s="26" t="str">
        <f>IFNA(VLOOKUP(B25,Sprites!$A$2:$B$1200,2,FALSE),"")</f>
        <v/>
      </c>
      <c r="B25" s="37"/>
      <c r="C25" s="41"/>
      <c r="D25" s="41"/>
      <c r="E25" s="40"/>
      <c r="F25" s="41"/>
      <c r="G25" s="41"/>
      <c r="H25" s="41"/>
      <c r="I25" s="42"/>
      <c r="M25" s="25"/>
      <c r="O25" s="25"/>
    </row>
    <row r="26">
      <c r="A26" s="26" t="str">
        <f>IFNA(VLOOKUP(B26,Sprites!$A$2:$B$1200,2,FALSE),"")</f>
        <v/>
      </c>
      <c r="B26" s="37"/>
      <c r="C26" s="41"/>
      <c r="D26" s="41"/>
      <c r="E26" s="40"/>
      <c r="F26" s="41"/>
      <c r="G26" s="41"/>
      <c r="H26" s="41"/>
      <c r="I26" s="42"/>
      <c r="M26" s="25"/>
      <c r="O26" s="25"/>
    </row>
    <row r="27">
      <c r="A27" s="26" t="str">
        <f>IFNA(VLOOKUP(B27,Sprites!$A$2:$B$1200,2,FALSE),"")</f>
        <v/>
      </c>
      <c r="B27" s="37"/>
      <c r="C27" s="41"/>
      <c r="D27" s="41"/>
      <c r="E27" s="40"/>
      <c r="F27" s="41"/>
      <c r="G27" s="41"/>
      <c r="H27" s="41"/>
      <c r="I27" s="42"/>
      <c r="M27" s="25"/>
      <c r="O27" s="25"/>
    </row>
    <row r="28">
      <c r="A28" s="26" t="str">
        <f>IFNA(VLOOKUP(B28,Sprites!$A$2:$B$1200,2,FALSE),"")</f>
        <v/>
      </c>
      <c r="B28" s="37"/>
      <c r="C28" s="41"/>
      <c r="D28" s="41"/>
      <c r="E28" s="40"/>
      <c r="F28" s="41"/>
      <c r="G28" s="41"/>
      <c r="H28" s="41"/>
      <c r="I28" s="42"/>
      <c r="M28" s="25"/>
      <c r="O28" s="25"/>
    </row>
    <row r="29">
      <c r="A29" s="26" t="str">
        <f>IFNA(VLOOKUP(B29,Sprites!$A$2:$B$1200,2,FALSE),"")</f>
        <v/>
      </c>
      <c r="B29" s="37"/>
      <c r="C29" s="41"/>
      <c r="D29" s="41"/>
      <c r="E29" s="40"/>
      <c r="F29" s="41"/>
      <c r="G29" s="41"/>
      <c r="H29" s="41"/>
      <c r="I29" s="42"/>
      <c r="M29" s="25"/>
      <c r="O29" s="25"/>
    </row>
    <row r="30">
      <c r="A30" s="26" t="str">
        <f>IFNA(VLOOKUP(B30,Sprites!$A$2:$B$1200,2,FALSE),"")</f>
        <v/>
      </c>
      <c r="B30" s="37"/>
      <c r="C30" s="41"/>
      <c r="D30" s="41"/>
      <c r="E30" s="40"/>
      <c r="F30" s="41"/>
      <c r="G30" s="41"/>
      <c r="H30" s="41"/>
      <c r="I30" s="42"/>
      <c r="M30" s="25"/>
      <c r="O30" s="25"/>
    </row>
    <row r="31">
      <c r="A31" s="26" t="str">
        <f>IFNA(VLOOKUP(B31,Sprites!$A$2:$B$1200,2,FALSE),"")</f>
        <v/>
      </c>
      <c r="B31" s="37"/>
      <c r="C31" s="41"/>
      <c r="D31" s="41"/>
      <c r="E31" s="40"/>
      <c r="F31" s="41"/>
      <c r="G31" s="41"/>
      <c r="H31" s="41"/>
      <c r="I31" s="42"/>
      <c r="M31" s="25"/>
      <c r="O31" s="25"/>
    </row>
    <row r="32">
      <c r="A32" s="26" t="str">
        <f>IFNA(VLOOKUP(B32,Sprites!$A$2:$B$1200,2,FALSE),"")</f>
        <v/>
      </c>
      <c r="B32" s="37"/>
      <c r="C32" s="41"/>
      <c r="D32" s="41"/>
      <c r="E32" s="40"/>
      <c r="F32" s="41"/>
      <c r="G32" s="41"/>
      <c r="H32" s="41"/>
      <c r="I32" s="42"/>
      <c r="M32" s="25"/>
      <c r="O32" s="25"/>
    </row>
    <row r="33">
      <c r="A33" s="26" t="str">
        <f>IFNA(VLOOKUP(B33,Sprites!$A$2:$B$1200,2,FALSE),"")</f>
        <v/>
      </c>
      <c r="B33" s="37"/>
      <c r="C33" s="41"/>
      <c r="D33" s="41"/>
      <c r="E33" s="40"/>
      <c r="F33" s="41"/>
      <c r="G33" s="41"/>
      <c r="H33" s="41"/>
      <c r="I33" s="42"/>
      <c r="M33" s="25"/>
      <c r="O33" s="25"/>
    </row>
    <row r="34">
      <c r="A34" s="26" t="str">
        <f>IFNA(VLOOKUP(B34,Sprites!$A$2:$B$1200,2,FALSE),"")</f>
        <v/>
      </c>
      <c r="B34" s="37"/>
      <c r="C34" s="41"/>
      <c r="D34" s="41"/>
      <c r="E34" s="40"/>
      <c r="F34" s="41"/>
      <c r="G34" s="41"/>
      <c r="H34" s="41"/>
      <c r="I34" s="42"/>
      <c r="M34" s="25"/>
      <c r="O34" s="25"/>
    </row>
    <row r="35">
      <c r="A35" s="26" t="str">
        <f>IFNA(VLOOKUP(B35,Sprites!$A$2:$B$1200,2,FALSE),"")</f>
        <v/>
      </c>
      <c r="B35" s="37"/>
      <c r="C35" s="41"/>
      <c r="D35" s="41"/>
      <c r="E35" s="40"/>
      <c r="F35" s="41"/>
      <c r="G35" s="41"/>
      <c r="H35" s="41"/>
      <c r="I35" s="42"/>
      <c r="M35" s="25"/>
      <c r="O35" s="25"/>
    </row>
    <row r="36">
      <c r="A36" s="26" t="str">
        <f>IFNA(VLOOKUP(B36,Sprites!$A$2:$B$1200,2,FALSE),"")</f>
        <v/>
      </c>
      <c r="B36" s="37"/>
      <c r="C36" s="41"/>
      <c r="D36" s="41"/>
      <c r="E36" s="40"/>
      <c r="F36" s="41"/>
      <c r="G36" s="41"/>
      <c r="H36" s="41"/>
      <c r="I36" s="42"/>
      <c r="M36" s="25"/>
      <c r="O36" s="25"/>
    </row>
    <row r="37">
      <c r="A37" s="26" t="str">
        <f>IFNA(VLOOKUP(B37,Sprites!$A$2:$B$1200,2,FALSE),"")</f>
        <v/>
      </c>
      <c r="B37" s="37"/>
      <c r="C37" s="41"/>
      <c r="D37" s="41"/>
      <c r="E37" s="40"/>
      <c r="F37" s="41"/>
      <c r="G37" s="41"/>
      <c r="H37" s="41"/>
      <c r="I37" s="42"/>
      <c r="M37" s="25"/>
      <c r="O37" s="25"/>
    </row>
    <row r="38">
      <c r="A38" s="26" t="str">
        <f>IFNA(VLOOKUP(B38,Sprites!$A$2:$B$1200,2,FALSE),"")</f>
        <v/>
      </c>
      <c r="B38" s="37"/>
      <c r="C38" s="41"/>
      <c r="D38" s="41"/>
      <c r="E38" s="40"/>
      <c r="F38" s="41"/>
      <c r="G38" s="41"/>
      <c r="H38" s="41"/>
      <c r="I38" s="42"/>
      <c r="M38" s="25"/>
      <c r="O38" s="25"/>
    </row>
    <row r="39">
      <c r="A39" s="26" t="str">
        <f>IFNA(VLOOKUP(B39,Sprites!$A$2:$B$1200,2,FALSE),"")</f>
        <v/>
      </c>
      <c r="B39" s="37"/>
      <c r="C39" s="41"/>
      <c r="D39" s="41"/>
      <c r="E39" s="40"/>
      <c r="F39" s="41"/>
      <c r="G39" s="41"/>
      <c r="H39" s="41"/>
      <c r="I39" s="42"/>
      <c r="M39" s="25"/>
      <c r="O39" s="25"/>
    </row>
    <row r="40">
      <c r="A40" s="26" t="str">
        <f>IFNA(VLOOKUP(B40,Sprites!$A$2:$B$1200,2,FALSE),"")</f>
        <v/>
      </c>
      <c r="B40" s="37"/>
      <c r="C40" s="41"/>
      <c r="D40" s="41"/>
      <c r="E40" s="40"/>
      <c r="F40" s="41"/>
      <c r="G40" s="41"/>
      <c r="H40" s="41"/>
      <c r="I40" s="42"/>
      <c r="M40" s="25"/>
      <c r="O40" s="25"/>
    </row>
    <row r="41">
      <c r="A41" s="26" t="str">
        <f>IFNA(VLOOKUP(B41,Sprites!$A$2:$B$1200,2,FALSE),"")</f>
        <v/>
      </c>
      <c r="B41" s="37"/>
      <c r="C41" s="41"/>
      <c r="D41" s="41"/>
      <c r="E41" s="40"/>
      <c r="F41" s="41"/>
      <c r="G41" s="41"/>
      <c r="H41" s="41"/>
      <c r="I41" s="42"/>
      <c r="M41" s="25"/>
      <c r="O41" s="25"/>
    </row>
    <row r="42">
      <c r="A42" s="26" t="str">
        <f>IFNA(VLOOKUP(B42,Sprites!$A$2:$B$1200,2,FALSE),"")</f>
        <v/>
      </c>
      <c r="B42" s="37"/>
      <c r="C42" s="41"/>
      <c r="D42" s="41"/>
      <c r="E42" s="40"/>
      <c r="F42" s="41"/>
      <c r="G42" s="41"/>
      <c r="H42" s="41"/>
      <c r="I42" s="42"/>
      <c r="M42" s="25"/>
      <c r="O42" s="25"/>
    </row>
    <row r="43">
      <c r="A43" s="26" t="str">
        <f>IFNA(VLOOKUP(B43,Sprites!$A$2:$B$1200,2,FALSE),"")</f>
        <v/>
      </c>
      <c r="B43" s="37"/>
      <c r="C43" s="41"/>
      <c r="D43" s="41"/>
      <c r="E43" s="40"/>
      <c r="F43" s="41"/>
      <c r="G43" s="41"/>
      <c r="H43" s="41"/>
      <c r="I43" s="42"/>
      <c r="M43" s="25"/>
      <c r="O43" s="25"/>
    </row>
    <row r="44">
      <c r="A44" s="26" t="str">
        <f>IFNA(VLOOKUP(B44,Sprites!$A$2:$B$1200,2,FALSE),"")</f>
        <v/>
      </c>
      <c r="B44" s="37"/>
      <c r="C44" s="41"/>
      <c r="D44" s="41"/>
      <c r="E44" s="40"/>
      <c r="F44" s="41"/>
      <c r="G44" s="41"/>
      <c r="H44" s="41"/>
      <c r="I44" s="42"/>
      <c r="M44" s="25"/>
      <c r="O44" s="25"/>
    </row>
    <row r="45">
      <c r="A45" s="26" t="str">
        <f>IFNA(VLOOKUP(B45,Sprites!$A$2:$B$1200,2,FALSE),"")</f>
        <v/>
      </c>
      <c r="B45" s="37"/>
      <c r="C45" s="41"/>
      <c r="D45" s="41"/>
      <c r="E45" s="40"/>
      <c r="F45" s="41"/>
      <c r="G45" s="41"/>
      <c r="H45" s="41"/>
      <c r="I45" s="42"/>
      <c r="M45" s="25"/>
      <c r="O45" s="25"/>
    </row>
    <row r="46">
      <c r="A46" s="26" t="str">
        <f>IFNA(VLOOKUP(B46,Sprites!$A$2:$B$1200,2,FALSE),"")</f>
        <v/>
      </c>
      <c r="B46" s="37"/>
      <c r="C46" s="43"/>
      <c r="D46" s="43"/>
      <c r="E46" s="44"/>
      <c r="F46" s="43"/>
      <c r="G46" s="43"/>
      <c r="H46" s="43"/>
      <c r="I46" s="37"/>
      <c r="M46" s="25"/>
      <c r="O46" s="25"/>
    </row>
    <row r="47">
      <c r="A47" s="26" t="str">
        <f>IFNA(VLOOKUP(B47,Sprites!$A$2:$B$1200,2,FALSE),"")</f>
        <v/>
      </c>
      <c r="B47" s="37"/>
      <c r="C47" s="43"/>
      <c r="D47" s="43"/>
      <c r="E47" s="44"/>
      <c r="F47" s="43"/>
      <c r="G47" s="43"/>
      <c r="H47" s="43"/>
      <c r="I47" s="37"/>
      <c r="M47" s="25"/>
      <c r="O47" s="25"/>
    </row>
    <row r="48">
      <c r="A48" s="26" t="str">
        <f>IFNA(VLOOKUP(B48,Sprites!$A$2:$B$1200,2,FALSE),"")</f>
        <v/>
      </c>
      <c r="B48" s="37"/>
      <c r="C48" s="43"/>
      <c r="D48" s="43"/>
      <c r="E48" s="44"/>
      <c r="F48" s="43"/>
      <c r="G48" s="43"/>
      <c r="H48" s="43"/>
      <c r="I48" s="37"/>
      <c r="M48" s="25"/>
      <c r="O48" s="25"/>
    </row>
    <row r="49">
      <c r="A49" s="26" t="str">
        <f>IFNA(VLOOKUP(B49,Sprites!$A$2:$B$1200,2,FALSE),"")</f>
        <v/>
      </c>
      <c r="B49" s="37"/>
      <c r="C49" s="43"/>
      <c r="D49" s="43"/>
      <c r="E49" s="44"/>
      <c r="F49" s="43"/>
      <c r="G49" s="43"/>
      <c r="H49" s="43"/>
      <c r="I49" s="37"/>
      <c r="M49" s="25"/>
      <c r="O49" s="25"/>
    </row>
    <row r="50">
      <c r="A50" s="26" t="str">
        <f>IFNA(VLOOKUP(B50,Sprites!$A$2:$B$1200,2,FALSE),"")</f>
        <v/>
      </c>
      <c r="B50" s="37"/>
      <c r="C50" s="43"/>
      <c r="D50" s="43"/>
      <c r="E50" s="44"/>
      <c r="F50" s="43"/>
      <c r="G50" s="43"/>
      <c r="H50" s="43"/>
      <c r="I50" s="37"/>
      <c r="M50" s="25"/>
      <c r="O50" s="25"/>
    </row>
    <row r="51">
      <c r="A51" s="26" t="str">
        <f>IFNA(VLOOKUP(B51,Sprites!$A$2:$B$1200,2,FALSE),"")</f>
        <v/>
      </c>
      <c r="B51" s="37"/>
      <c r="C51" s="43"/>
      <c r="D51" s="43"/>
      <c r="E51" s="44"/>
      <c r="F51" s="43"/>
      <c r="G51" s="43"/>
      <c r="H51" s="43"/>
      <c r="I51" s="37"/>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mergeCells count="2">
    <mergeCell ref="C21:I21"/>
    <mergeCell ref="C22:I22"/>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45" t="s">
        <v>40</v>
      </c>
      <c r="B1" s="30" t="s">
        <v>41</v>
      </c>
      <c r="C1" s="30" t="s">
        <v>42</v>
      </c>
      <c r="D1" s="30" t="s">
        <v>43</v>
      </c>
      <c r="E1" s="30" t="s">
        <v>44</v>
      </c>
      <c r="F1" s="30" t="s">
        <v>45</v>
      </c>
      <c r="G1" s="30" t="s">
        <v>46</v>
      </c>
      <c r="H1" s="30" t="s">
        <v>47</v>
      </c>
      <c r="I1" s="31" t="s">
        <v>48</v>
      </c>
      <c r="J1" s="14" t="s">
        <v>49</v>
      </c>
      <c r="K1" s="15">
        <v>17.0</v>
      </c>
    </row>
    <row r="2" ht="22.5" customHeight="1">
      <c r="A2" s="16" t="str">
        <f>IFNA(VLOOKUP(B2,Sprites!$A$2:$B$1200,2,FALSE),"")</f>
        <v/>
      </c>
      <c r="B2" s="17" t="s">
        <v>197</v>
      </c>
      <c r="C2" s="8">
        <v>385.0</v>
      </c>
      <c r="D2" s="8" t="s">
        <v>69</v>
      </c>
      <c r="E2" s="8">
        <v>550.0</v>
      </c>
      <c r="F2" s="8">
        <v>7.0</v>
      </c>
      <c r="H2" s="8">
        <v>9.0</v>
      </c>
      <c r="I2" s="19">
        <v>1.0</v>
      </c>
      <c r="J2" s="14" t="s">
        <v>19</v>
      </c>
      <c r="K2" s="20">
        <f>SUM(C2:C1000)/K1</f>
        <v>320.5882353</v>
      </c>
    </row>
    <row r="3" ht="22.5" customHeight="1">
      <c r="A3" s="16" t="str">
        <f>IFNA(VLOOKUP(B3,Sprites!$A$2:$B$1200,2,FALSE),"")</f>
        <v/>
      </c>
      <c r="B3" s="17" t="s">
        <v>198</v>
      </c>
      <c r="C3" s="8">
        <v>285.0</v>
      </c>
      <c r="D3" s="8" t="s">
        <v>67</v>
      </c>
      <c r="E3" s="8">
        <v>525.0</v>
      </c>
      <c r="F3" s="8">
        <v>2.0</v>
      </c>
      <c r="H3" s="8">
        <v>8.0</v>
      </c>
      <c r="I3" s="19">
        <v>2.0</v>
      </c>
      <c r="J3" s="14" t="s">
        <v>20</v>
      </c>
      <c r="K3" s="20">
        <f>SUM(H2:H1000)/K1</f>
        <v>4.352941176</v>
      </c>
    </row>
    <row r="4" ht="22.5" customHeight="1">
      <c r="A4" s="16" t="str">
        <f>IFNA(VLOOKUP(B4,Sprites!$A$2:$B$1200,2,FALSE),"")</f>
        <v/>
      </c>
      <c r="B4" s="17" t="s">
        <v>199</v>
      </c>
      <c r="C4" s="8">
        <v>430.0</v>
      </c>
      <c r="D4" s="8" t="s">
        <v>69</v>
      </c>
      <c r="E4" s="8">
        <v>510.0</v>
      </c>
      <c r="F4" s="8">
        <v>6.0</v>
      </c>
      <c r="G4" s="8" t="s">
        <v>28</v>
      </c>
      <c r="H4" s="8">
        <v>7.0</v>
      </c>
      <c r="I4" s="19">
        <v>3.0</v>
      </c>
      <c r="J4" s="14" t="s">
        <v>56</v>
      </c>
      <c r="K4" s="21">
        <f>COUNTIF(D2:D1000, "Roguestone")</f>
        <v>3</v>
      </c>
    </row>
    <row r="5" ht="22.5" customHeight="1">
      <c r="A5" s="16" t="str">
        <f>IFNA(VLOOKUP(B5,Sprites!$A$2:$B$1200,2,FALSE),"")</f>
        <v/>
      </c>
      <c r="B5" s="17" t="s">
        <v>200</v>
      </c>
      <c r="C5" s="8">
        <v>377.0</v>
      </c>
      <c r="D5" s="8" t="s">
        <v>75</v>
      </c>
      <c r="E5" s="8">
        <v>507.0</v>
      </c>
      <c r="F5" s="8">
        <v>5.0</v>
      </c>
      <c r="H5" s="8">
        <v>6.0</v>
      </c>
      <c r="I5" s="19">
        <v>4.0</v>
      </c>
      <c r="J5" s="14" t="s">
        <v>58</v>
      </c>
      <c r="K5" s="22">
        <f>K4/K1</f>
        <v>0.1764705882</v>
      </c>
    </row>
    <row r="6" ht="22.5" customHeight="1">
      <c r="A6" s="16" t="str">
        <f>IFNA(VLOOKUP(B6,Sprites!$A$2:$B$1200,2,FALSE),"")</f>
        <v/>
      </c>
      <c r="B6" s="17" t="s">
        <v>201</v>
      </c>
      <c r="C6" s="8">
        <v>350.0</v>
      </c>
      <c r="D6" s="8" t="s">
        <v>131</v>
      </c>
      <c r="E6" s="8">
        <v>510.0</v>
      </c>
      <c r="F6" s="8">
        <v>5.0</v>
      </c>
      <c r="H6" s="8">
        <v>6.0</v>
      </c>
      <c r="I6" s="19">
        <v>5.0</v>
      </c>
    </row>
    <row r="7" ht="22.5" customHeight="1">
      <c r="A7" s="16" t="str">
        <f>IFNA(VLOOKUP(B7,Sprites!$A$2:$B$1200,2,FALSE),"")</f>
        <v/>
      </c>
      <c r="B7" s="17" t="s">
        <v>202</v>
      </c>
      <c r="C7" s="8">
        <v>340.0</v>
      </c>
      <c r="D7" s="8" t="s">
        <v>162</v>
      </c>
      <c r="E7" s="8">
        <v>500.0</v>
      </c>
      <c r="F7" s="8">
        <v>4.0</v>
      </c>
      <c r="G7" s="8" t="s">
        <v>33</v>
      </c>
      <c r="H7" s="8">
        <v>6.0</v>
      </c>
      <c r="I7" s="19">
        <v>6.0</v>
      </c>
    </row>
    <row r="8" ht="22.5" customHeight="1">
      <c r="A8" s="16" t="str">
        <f>IFNA(VLOOKUP(B8,Sprites!$A$2:$B$1200,2,FALSE),"")</f>
        <v/>
      </c>
      <c r="B8" s="17" t="s">
        <v>203</v>
      </c>
      <c r="C8" s="8">
        <v>347.0</v>
      </c>
      <c r="D8" s="8" t="s">
        <v>131</v>
      </c>
      <c r="E8" s="8">
        <v>495.0</v>
      </c>
      <c r="F8" s="8">
        <v>5.0</v>
      </c>
      <c r="H8" s="8">
        <v>5.0</v>
      </c>
      <c r="I8" s="19">
        <v>7.0</v>
      </c>
    </row>
    <row r="9" ht="22.5" customHeight="1">
      <c r="A9" s="16" t="str">
        <f>IFNA(VLOOKUP(B9,Sprites!$A$2:$B$1200,2,FALSE),"")</f>
        <v/>
      </c>
      <c r="B9" s="17" t="s">
        <v>204</v>
      </c>
      <c r="C9" s="8">
        <v>305.0</v>
      </c>
      <c r="D9" s="8" t="s">
        <v>77</v>
      </c>
      <c r="E9" s="8">
        <v>405.0</v>
      </c>
      <c r="F9" s="8">
        <v>4.0</v>
      </c>
      <c r="H9" s="8">
        <v>4.0</v>
      </c>
      <c r="I9" s="19">
        <v>8.0</v>
      </c>
    </row>
    <row r="10" ht="22.5" customHeight="1">
      <c r="A10" s="16" t="str">
        <f>IFNA(VLOOKUP(B10,Sprites!$A$2:$B$1200,2,FALSE),"")</f>
        <v/>
      </c>
      <c r="B10" s="17" t="s">
        <v>205</v>
      </c>
      <c r="C10" s="8">
        <v>305.0</v>
      </c>
      <c r="D10" s="8" t="s">
        <v>55</v>
      </c>
      <c r="E10" s="8">
        <v>405.0</v>
      </c>
      <c r="F10" s="8">
        <v>4.0</v>
      </c>
      <c r="H10" s="8">
        <v>4.0</v>
      </c>
      <c r="I10" s="19">
        <v>9.0</v>
      </c>
    </row>
    <row r="11" ht="22.5" customHeight="1">
      <c r="A11" s="16" t="str">
        <f>IFNA(VLOOKUP(B11,Sprites!$A$2:$B$1200,2,FALSE),"")</f>
        <v/>
      </c>
      <c r="B11" s="17" t="s">
        <v>206</v>
      </c>
      <c r="C11" s="8">
        <v>337.0</v>
      </c>
      <c r="D11" s="8" t="s">
        <v>69</v>
      </c>
      <c r="E11" s="8">
        <v>478.0</v>
      </c>
      <c r="F11" s="8">
        <v>7.0</v>
      </c>
      <c r="H11" s="8">
        <v>4.0</v>
      </c>
      <c r="I11" s="19">
        <v>10.0</v>
      </c>
    </row>
    <row r="12" ht="22.5" customHeight="1">
      <c r="A12" s="16" t="str">
        <f>IFNA(VLOOKUP(B12,Sprites!$A$2:$B$1200,2,FALSE),"")</f>
        <v/>
      </c>
      <c r="B12" s="17" t="s">
        <v>132</v>
      </c>
      <c r="C12" s="8">
        <v>348.0</v>
      </c>
      <c r="D12" s="8" t="s">
        <v>133</v>
      </c>
      <c r="E12" s="8">
        <v>488.0</v>
      </c>
      <c r="F12" s="8">
        <v>7.0</v>
      </c>
      <c r="G12" s="8" t="s">
        <v>25</v>
      </c>
      <c r="H12" s="8">
        <v>3.0</v>
      </c>
      <c r="I12" s="19">
        <v>11.0</v>
      </c>
    </row>
    <row r="13" ht="22.5" customHeight="1">
      <c r="A13" s="16" t="str">
        <f>IFNA(VLOOKUP(B13,Sprites!$A$2:$B$1200,2,FALSE),"")</f>
        <v/>
      </c>
      <c r="B13" s="17" t="s">
        <v>207</v>
      </c>
      <c r="C13" s="8">
        <v>280.0</v>
      </c>
      <c r="D13" s="8" t="s">
        <v>208</v>
      </c>
      <c r="E13" s="8">
        <v>410.0</v>
      </c>
      <c r="F13" s="8">
        <v>11.0</v>
      </c>
      <c r="G13" s="8" t="s">
        <v>34</v>
      </c>
      <c r="H13" s="8">
        <v>3.0</v>
      </c>
      <c r="I13" s="19">
        <v>12.0</v>
      </c>
    </row>
    <row r="14" ht="22.5" customHeight="1">
      <c r="A14" s="16" t="str">
        <f>IFNA(VLOOKUP(B14,Sprites!$A$2:$B$1200,2,FALSE),"")</f>
        <v/>
      </c>
      <c r="B14" s="17" t="s">
        <v>209</v>
      </c>
      <c r="C14" s="8">
        <v>309.0</v>
      </c>
      <c r="D14" s="8" t="s">
        <v>117</v>
      </c>
      <c r="E14" s="8">
        <v>480.0</v>
      </c>
      <c r="F14" s="8">
        <v>6.0</v>
      </c>
      <c r="H14" s="8">
        <v>2.0</v>
      </c>
      <c r="I14" s="19">
        <v>13.0</v>
      </c>
    </row>
    <row r="15" ht="22.5" customHeight="1">
      <c r="A15" s="16" t="str">
        <f>IFNA(VLOOKUP(B15,Sprites!$A$2:$B$1200,2,FALSE),"")</f>
        <v/>
      </c>
      <c r="B15" s="17" t="s">
        <v>210</v>
      </c>
      <c r="C15" s="8">
        <v>300.0</v>
      </c>
      <c r="D15" s="8" t="s">
        <v>208</v>
      </c>
      <c r="E15" s="8">
        <v>490.0</v>
      </c>
      <c r="F15" s="8">
        <v>7.0</v>
      </c>
      <c r="G15" s="8" t="s">
        <v>28</v>
      </c>
      <c r="H15" s="8">
        <v>2.0</v>
      </c>
      <c r="I15" s="19">
        <v>14.0</v>
      </c>
    </row>
    <row r="16" ht="22.5" customHeight="1">
      <c r="A16" s="16" t="str">
        <f>IFNA(VLOOKUP(B16,Sprites!$A$2:$B$1200,2,FALSE),"")</f>
        <v/>
      </c>
      <c r="B16" s="17" t="s">
        <v>211</v>
      </c>
      <c r="C16" s="8">
        <v>305.0</v>
      </c>
      <c r="D16" s="8" t="s">
        <v>55</v>
      </c>
      <c r="E16" s="8">
        <v>455.0</v>
      </c>
      <c r="F16" s="8">
        <v>3.0</v>
      </c>
      <c r="H16" s="8">
        <v>2.0</v>
      </c>
      <c r="I16" s="19">
        <v>15.0</v>
      </c>
    </row>
    <row r="17" ht="22.5" customHeight="1">
      <c r="A17" s="16" t="str">
        <f>IFNA(VLOOKUP(B17,Sprites!$A$2:$B$1200,2,FALSE),"")</f>
        <v/>
      </c>
      <c r="B17" s="17" t="s">
        <v>212</v>
      </c>
      <c r="C17" s="8">
        <v>237.0</v>
      </c>
      <c r="D17" s="8" t="s">
        <v>87</v>
      </c>
      <c r="E17" s="8">
        <v>474.0</v>
      </c>
      <c r="F17" s="8">
        <v>5.0</v>
      </c>
      <c r="H17" s="8">
        <v>2.0</v>
      </c>
      <c r="I17" s="19">
        <v>16.0</v>
      </c>
    </row>
    <row r="18" ht="22.5" customHeight="1">
      <c r="A18" s="16" t="str">
        <f>IFNA(VLOOKUP(B18,Sprites!$A$2:$B$1200,2,FALSE),"")</f>
        <v/>
      </c>
      <c r="B18" s="17" t="s">
        <v>213</v>
      </c>
      <c r="C18" s="8">
        <v>210.0</v>
      </c>
      <c r="D18" s="8" t="s">
        <v>65</v>
      </c>
      <c r="E18" s="8">
        <v>455.0</v>
      </c>
      <c r="F18" s="8">
        <v>0.0</v>
      </c>
      <c r="H18" s="8">
        <v>1.0</v>
      </c>
      <c r="I18" s="19">
        <v>17.0</v>
      </c>
    </row>
    <row r="19">
      <c r="A19" s="23"/>
      <c r="B19" s="14"/>
      <c r="I19" s="14"/>
    </row>
    <row r="20">
      <c r="A20" s="23"/>
      <c r="B20" s="46" t="s">
        <v>137</v>
      </c>
      <c r="C20" s="47" t="s">
        <v>138</v>
      </c>
    </row>
    <row r="21">
      <c r="A21" s="23"/>
      <c r="B21" s="48">
        <v>46001.0</v>
      </c>
      <c r="C21" s="15" t="s">
        <v>214</v>
      </c>
      <c r="I21" s="14"/>
    </row>
    <row r="22">
      <c r="A22" s="23"/>
      <c r="B22" s="46"/>
      <c r="I22" s="14"/>
    </row>
    <row r="23">
      <c r="A23" s="23"/>
      <c r="B23" s="46"/>
      <c r="I23" s="14"/>
    </row>
    <row r="24">
      <c r="A24" s="23"/>
      <c r="B24" s="46"/>
      <c r="I24" s="14"/>
    </row>
    <row r="25">
      <c r="A25" s="23"/>
      <c r="B25" s="46"/>
      <c r="I25" s="14"/>
    </row>
    <row r="26">
      <c r="A26" s="23"/>
      <c r="B26" s="46"/>
      <c r="I26" s="14"/>
    </row>
    <row r="27">
      <c r="A27" s="23"/>
      <c r="B27" s="46"/>
      <c r="I27" s="14"/>
    </row>
    <row r="28">
      <c r="A28" s="23"/>
      <c r="B28" s="46"/>
      <c r="I28" s="14"/>
    </row>
    <row r="29">
      <c r="A29" s="23"/>
      <c r="B29" s="46"/>
      <c r="I29" s="14"/>
    </row>
    <row r="30">
      <c r="A30" s="23"/>
      <c r="B30" s="46"/>
      <c r="I30" s="14"/>
    </row>
    <row r="31">
      <c r="A31" s="23"/>
      <c r="B31" s="46"/>
      <c r="I31" s="14"/>
    </row>
    <row r="32">
      <c r="A32" s="23"/>
      <c r="B32" s="46"/>
      <c r="I32" s="14"/>
    </row>
    <row r="33">
      <c r="A33" s="23"/>
      <c r="B33" s="46"/>
      <c r="I33" s="14"/>
    </row>
    <row r="34">
      <c r="A34" s="23"/>
      <c r="B34" s="46"/>
      <c r="I34" s="14"/>
    </row>
    <row r="35">
      <c r="A35" s="23"/>
      <c r="B35" s="46"/>
      <c r="I35" s="14"/>
    </row>
    <row r="36">
      <c r="A36" s="23"/>
      <c r="B36" s="14"/>
      <c r="I36" s="14"/>
    </row>
    <row r="37">
      <c r="A37" s="23"/>
      <c r="B37" s="14"/>
      <c r="I37" s="14"/>
    </row>
    <row r="38">
      <c r="A38" s="23"/>
      <c r="B38" s="14"/>
      <c r="I38" s="14"/>
    </row>
    <row r="39">
      <c r="A39" s="23"/>
      <c r="B39" s="14"/>
      <c r="I39" s="14"/>
    </row>
    <row r="40">
      <c r="A40" s="23"/>
      <c r="B40" s="14"/>
      <c r="I40" s="14"/>
    </row>
    <row r="41">
      <c r="A41" s="23"/>
      <c r="B41" s="14"/>
      <c r="I41" s="14"/>
    </row>
    <row r="42">
      <c r="A42" s="23"/>
      <c r="B42" s="14"/>
      <c r="I42" s="14"/>
    </row>
    <row r="43">
      <c r="A43" s="23"/>
      <c r="B43" s="14"/>
      <c r="I43" s="14"/>
    </row>
    <row r="44">
      <c r="A44" s="23"/>
      <c r="B44" s="14"/>
      <c r="I44" s="14"/>
    </row>
    <row r="45">
      <c r="A45" s="23"/>
      <c r="B45" s="14"/>
      <c r="I45" s="14"/>
    </row>
    <row r="46">
      <c r="A46" s="23"/>
      <c r="B46" s="14"/>
      <c r="I46" s="14"/>
    </row>
    <row r="47">
      <c r="A47" s="23"/>
      <c r="B47" s="14"/>
      <c r="I47" s="14"/>
    </row>
    <row r="48">
      <c r="A48" s="23"/>
      <c r="B48" s="14"/>
      <c r="I48" s="14"/>
    </row>
    <row r="49">
      <c r="A49" s="23"/>
      <c r="B49" s="14"/>
      <c r="I49" s="14"/>
    </row>
    <row r="50">
      <c r="A50" s="23"/>
      <c r="B50" s="14"/>
      <c r="I50" s="14"/>
    </row>
    <row r="51">
      <c r="A51" s="23"/>
      <c r="B51" s="14"/>
      <c r="I51" s="14"/>
    </row>
    <row r="52">
      <c r="A52" s="23"/>
      <c r="B52" s="14"/>
      <c r="I52" s="14"/>
    </row>
    <row r="53">
      <c r="A53" s="23"/>
      <c r="B53" s="14"/>
      <c r="I53" s="14"/>
    </row>
    <row r="54">
      <c r="A54" s="23"/>
      <c r="B54" s="14"/>
      <c r="I54" s="14"/>
    </row>
    <row r="55">
      <c r="A55" s="23"/>
      <c r="B55" s="14"/>
      <c r="I55" s="14"/>
    </row>
    <row r="56">
      <c r="A56" s="23"/>
      <c r="B56" s="14"/>
      <c r="I56" s="14"/>
    </row>
    <row r="57">
      <c r="A57" s="23"/>
      <c r="B57" s="14"/>
      <c r="I57" s="14"/>
    </row>
    <row r="58">
      <c r="A58" s="23"/>
      <c r="B58" s="14"/>
      <c r="I58" s="14"/>
    </row>
    <row r="59">
      <c r="A59" s="28"/>
      <c r="B59" s="27"/>
      <c r="I59" s="27"/>
    </row>
    <row r="60">
      <c r="A60" s="28"/>
      <c r="B60" s="27"/>
      <c r="I60" s="27"/>
    </row>
    <row r="61">
      <c r="A61" s="28"/>
      <c r="B61" s="27"/>
      <c r="I61" s="27"/>
    </row>
    <row r="62">
      <c r="A62" s="28"/>
      <c r="B62" s="27"/>
      <c r="I62" s="27"/>
    </row>
    <row r="63">
      <c r="A63" s="28"/>
      <c r="B63" s="27"/>
      <c r="I63" s="27"/>
    </row>
    <row r="64">
      <c r="A64" s="28"/>
      <c r="B64" s="27"/>
      <c r="I64" s="27"/>
    </row>
    <row r="65">
      <c r="A65" s="28"/>
      <c r="B65" s="27"/>
      <c r="I65" s="27"/>
    </row>
    <row r="66">
      <c r="A66" s="28"/>
      <c r="B66" s="27"/>
      <c r="I66" s="27"/>
    </row>
    <row r="67">
      <c r="A67" s="28"/>
      <c r="B67" s="27"/>
      <c r="I67" s="27"/>
    </row>
    <row r="68">
      <c r="A68" s="28"/>
      <c r="B68" s="27"/>
      <c r="I68" s="27"/>
    </row>
    <row r="69">
      <c r="A69" s="28"/>
      <c r="B69" s="27"/>
      <c r="I69" s="27"/>
    </row>
    <row r="70">
      <c r="A70" s="28"/>
      <c r="B70" s="27"/>
      <c r="I70" s="27"/>
    </row>
    <row r="71">
      <c r="A71" s="28"/>
      <c r="B71" s="27"/>
      <c r="I71" s="27"/>
    </row>
    <row r="72">
      <c r="A72" s="28"/>
      <c r="B72" s="27"/>
      <c r="I72" s="27"/>
    </row>
    <row r="73">
      <c r="A73" s="28"/>
      <c r="B73" s="27"/>
      <c r="I73" s="27"/>
    </row>
    <row r="74">
      <c r="A74" s="28"/>
      <c r="B74" s="27"/>
      <c r="I74" s="27"/>
    </row>
    <row r="75">
      <c r="A75" s="28"/>
      <c r="B75" s="27"/>
      <c r="I75" s="27"/>
    </row>
    <row r="76">
      <c r="A76" s="28"/>
      <c r="B76" s="27"/>
      <c r="I76" s="27"/>
    </row>
    <row r="77">
      <c r="A77" s="28"/>
      <c r="B77" s="27"/>
      <c r="I77" s="27"/>
    </row>
    <row r="78">
      <c r="A78" s="28"/>
      <c r="B78" s="27"/>
      <c r="I78" s="27"/>
    </row>
    <row r="79">
      <c r="A79" s="28"/>
      <c r="B79" s="27"/>
      <c r="I79" s="27"/>
    </row>
    <row r="80">
      <c r="A80" s="28"/>
      <c r="B80" s="27"/>
      <c r="I80" s="27"/>
    </row>
    <row r="81">
      <c r="A81" s="28"/>
      <c r="B81" s="27"/>
      <c r="I81" s="27"/>
    </row>
    <row r="82">
      <c r="A82" s="28"/>
      <c r="B82" s="27"/>
      <c r="I82" s="27"/>
    </row>
    <row r="83">
      <c r="A83" s="28"/>
      <c r="B83" s="27"/>
      <c r="I83" s="27"/>
    </row>
    <row r="84">
      <c r="A84" s="28"/>
      <c r="B84" s="27"/>
      <c r="I84" s="27"/>
    </row>
    <row r="85">
      <c r="A85" s="28"/>
      <c r="B85" s="27"/>
      <c r="I85" s="27"/>
    </row>
    <row r="86">
      <c r="A86" s="28"/>
      <c r="B86" s="27"/>
      <c r="I86" s="27"/>
    </row>
    <row r="87">
      <c r="A87" s="28"/>
      <c r="B87" s="27"/>
      <c r="I87" s="27"/>
    </row>
    <row r="88">
      <c r="A88" s="28"/>
      <c r="B88" s="27"/>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mergeCells count="1">
    <mergeCell ref="C20:I20"/>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25.0</v>
      </c>
    </row>
    <row r="2" ht="22.5" customHeight="1">
      <c r="A2" s="16" t="str">
        <f>IFNA(VLOOKUP(B2,Sprites!$A$2:$B$1200,2,FALSE),"")</f>
        <v/>
      </c>
      <c r="B2" s="17" t="s">
        <v>215</v>
      </c>
      <c r="C2" s="8">
        <v>350.0</v>
      </c>
      <c r="D2" s="8" t="s">
        <v>69</v>
      </c>
      <c r="E2" s="18">
        <v>555.0</v>
      </c>
      <c r="F2" s="8">
        <v>7.0</v>
      </c>
      <c r="H2" s="8">
        <v>9.0</v>
      </c>
      <c r="I2" s="19">
        <v>1.0</v>
      </c>
      <c r="J2" s="14" t="s">
        <v>19</v>
      </c>
      <c r="K2" s="20">
        <f>SUM(C2:C1001)/K1</f>
        <v>318.64</v>
      </c>
    </row>
    <row r="3" ht="22.5" customHeight="1">
      <c r="A3" s="16" t="str">
        <f>IFNA(VLOOKUP(B3,Sprites!$A$2:$B$1200,2,FALSE),"")</f>
        <v/>
      </c>
      <c r="B3" s="17" t="s">
        <v>50</v>
      </c>
      <c r="C3" s="8">
        <v>360.0</v>
      </c>
      <c r="D3" s="8" t="s">
        <v>51</v>
      </c>
      <c r="E3" s="18">
        <v>550.0</v>
      </c>
      <c r="F3" s="8">
        <v>5.0</v>
      </c>
      <c r="G3" s="8" t="s">
        <v>39</v>
      </c>
      <c r="H3" s="8">
        <v>8.0</v>
      </c>
      <c r="I3" s="19">
        <v>2.0</v>
      </c>
      <c r="J3" s="14" t="s">
        <v>20</v>
      </c>
      <c r="K3" s="20">
        <f>SUM(H2:H1001)/K1</f>
        <v>6.44</v>
      </c>
    </row>
    <row r="4" ht="22.5" customHeight="1">
      <c r="A4" s="16" t="str">
        <f>IFNA(VLOOKUP(B4,Sprites!$A$2:$B$1200,2,FALSE),"")</f>
        <v/>
      </c>
      <c r="B4" s="17" t="s">
        <v>216</v>
      </c>
      <c r="C4" s="8">
        <v>309.0</v>
      </c>
      <c r="D4" s="8" t="s">
        <v>217</v>
      </c>
      <c r="E4" s="18">
        <v>405.0</v>
      </c>
      <c r="F4" s="8">
        <v>2.0</v>
      </c>
      <c r="H4" s="8">
        <v>8.0</v>
      </c>
      <c r="I4" s="19">
        <v>3.0</v>
      </c>
      <c r="J4" s="14" t="s">
        <v>56</v>
      </c>
      <c r="K4" s="21">
        <f>COUNTIF(D2:D1000, "Roguestone")</f>
        <v>5</v>
      </c>
    </row>
    <row r="5" ht="22.5" customHeight="1">
      <c r="A5" s="16" t="str">
        <f>IFNA(VLOOKUP(B5,Sprites!$A$2:$B$1200,2,FALSE),"")</f>
        <v/>
      </c>
      <c r="B5" s="17" t="s">
        <v>218</v>
      </c>
      <c r="C5" s="8">
        <v>310.0</v>
      </c>
      <c r="D5" s="8" t="s">
        <v>219</v>
      </c>
      <c r="E5" s="18">
        <v>405.0</v>
      </c>
      <c r="F5" s="8">
        <v>3.0</v>
      </c>
      <c r="H5" s="8">
        <v>8.0</v>
      </c>
      <c r="I5" s="19">
        <v>4.0</v>
      </c>
      <c r="J5" s="14" t="s">
        <v>58</v>
      </c>
      <c r="K5" s="22">
        <f>K4/K1</f>
        <v>0.2</v>
      </c>
    </row>
    <row r="6" ht="22.5" customHeight="1">
      <c r="A6" s="16" t="str">
        <f>IFNA(VLOOKUP(B6,Sprites!$A$2:$B$1200,2,FALSE),"")</f>
        <v/>
      </c>
      <c r="B6" s="17" t="s">
        <v>220</v>
      </c>
      <c r="C6" s="8">
        <v>320.0</v>
      </c>
      <c r="D6" s="8" t="s">
        <v>221</v>
      </c>
      <c r="E6" s="18">
        <v>420.0</v>
      </c>
      <c r="F6" s="8">
        <v>3.0</v>
      </c>
      <c r="H6" s="8">
        <v>8.0</v>
      </c>
      <c r="I6" s="19">
        <v>5.0</v>
      </c>
    </row>
    <row r="7" ht="22.5" customHeight="1">
      <c r="A7" s="16" t="str">
        <f>IFNA(VLOOKUP(B7,Sprites!$A$2:$B$1200,2,FALSE),"")</f>
        <v/>
      </c>
      <c r="B7" s="17" t="s">
        <v>222</v>
      </c>
      <c r="C7" s="8">
        <v>308.0</v>
      </c>
      <c r="D7" s="8" t="s">
        <v>221</v>
      </c>
      <c r="E7" s="18">
        <v>418.0</v>
      </c>
      <c r="F7" s="8">
        <v>3.0</v>
      </c>
      <c r="H7" s="8">
        <v>8.0</v>
      </c>
      <c r="I7" s="19">
        <v>6.0</v>
      </c>
      <c r="L7" s="23"/>
      <c r="M7" s="24"/>
      <c r="N7" s="23"/>
      <c r="O7" s="24"/>
    </row>
    <row r="8" ht="22.5" customHeight="1">
      <c r="A8" s="16" t="str">
        <f>IFNA(VLOOKUP(B8,Sprites!$A$2:$B$1200,2,FALSE),"")</f>
        <v/>
      </c>
      <c r="B8" s="17" t="s">
        <v>223</v>
      </c>
      <c r="C8" s="8">
        <v>309.0</v>
      </c>
      <c r="D8" s="8" t="s">
        <v>217</v>
      </c>
      <c r="E8" s="18">
        <v>405.0</v>
      </c>
      <c r="F8" s="8">
        <v>1.0</v>
      </c>
      <c r="H8" s="8">
        <v>8.0</v>
      </c>
      <c r="I8" s="19">
        <v>7.0</v>
      </c>
      <c r="M8" s="25"/>
      <c r="O8" s="25"/>
    </row>
    <row r="9" ht="22.5" customHeight="1">
      <c r="A9" s="16" t="str">
        <f>IFNA(VLOOKUP(B9,Sprites!$A$2:$B$1200,2,FALSE),"")</f>
        <v/>
      </c>
      <c r="B9" s="17" t="s">
        <v>224</v>
      </c>
      <c r="C9" s="8">
        <v>310.0</v>
      </c>
      <c r="D9" s="8" t="s">
        <v>219</v>
      </c>
      <c r="E9" s="18">
        <v>411.0</v>
      </c>
      <c r="F9" s="8">
        <v>2.0</v>
      </c>
      <c r="H9" s="8">
        <v>8.0</v>
      </c>
      <c r="I9" s="19">
        <v>8.0</v>
      </c>
      <c r="M9" s="25"/>
      <c r="O9" s="25"/>
    </row>
    <row r="10" ht="22.5" customHeight="1">
      <c r="A10" s="16" t="str">
        <f>IFNA(VLOOKUP(B10,Sprites!$A$2:$B$1200,2,FALSE),"")</f>
        <v/>
      </c>
      <c r="B10" s="17" t="s">
        <v>225</v>
      </c>
      <c r="C10" s="8">
        <v>307.0</v>
      </c>
      <c r="D10" s="8" t="s">
        <v>219</v>
      </c>
      <c r="E10" s="18">
        <v>409.0</v>
      </c>
      <c r="F10" s="8">
        <v>2.0</v>
      </c>
      <c r="H10" s="8">
        <v>8.0</v>
      </c>
      <c r="I10" s="19">
        <v>9.0</v>
      </c>
      <c r="M10" s="25"/>
      <c r="O10" s="25"/>
    </row>
    <row r="11" ht="22.5" customHeight="1">
      <c r="A11" s="16" t="str">
        <f>IFNA(VLOOKUP(B11,Sprites!$A$2:$B$1200,2,FALSE),"")</f>
        <v/>
      </c>
      <c r="B11" s="17" t="s">
        <v>226</v>
      </c>
      <c r="C11" s="8">
        <v>310.0</v>
      </c>
      <c r="D11" s="8" t="s">
        <v>219</v>
      </c>
      <c r="E11" s="18">
        <v>420.0</v>
      </c>
      <c r="F11" s="8">
        <v>1.0</v>
      </c>
      <c r="H11" s="8">
        <v>8.0</v>
      </c>
      <c r="I11" s="19">
        <v>10.0</v>
      </c>
      <c r="M11" s="25"/>
      <c r="O11" s="25"/>
    </row>
    <row r="12" ht="22.5" customHeight="1">
      <c r="A12" s="16" t="str">
        <f>IFNA(VLOOKUP(B12,Sprites!$A$2:$B$1200,2,FALSE),"")</f>
        <v/>
      </c>
      <c r="B12" s="17" t="s">
        <v>227</v>
      </c>
      <c r="C12" s="8">
        <v>309.0</v>
      </c>
      <c r="D12" s="8" t="s">
        <v>219</v>
      </c>
      <c r="E12" s="18">
        <v>405.0</v>
      </c>
      <c r="F12" s="8">
        <v>1.0</v>
      </c>
      <c r="H12" s="8">
        <v>8.0</v>
      </c>
      <c r="I12" s="19">
        <v>11.0</v>
      </c>
      <c r="M12" s="25"/>
      <c r="O12" s="25"/>
    </row>
    <row r="13" ht="22.5" customHeight="1">
      <c r="A13" s="16" t="str">
        <f>IFNA(VLOOKUP(B13,Sprites!$A$2:$B$1200,2,FALSE),"")</f>
        <v/>
      </c>
      <c r="B13" s="17" t="s">
        <v>228</v>
      </c>
      <c r="C13" s="8">
        <v>250.0</v>
      </c>
      <c r="D13" s="8" t="s">
        <v>61</v>
      </c>
      <c r="E13" s="18">
        <v>410.0</v>
      </c>
      <c r="F13" s="8">
        <v>1.0</v>
      </c>
      <c r="H13" s="8">
        <v>7.0</v>
      </c>
      <c r="I13" s="19">
        <v>12.0</v>
      </c>
      <c r="M13" s="25"/>
      <c r="O13" s="25"/>
    </row>
    <row r="14" ht="22.5" customHeight="1">
      <c r="A14" s="16" t="str">
        <f>IFNA(VLOOKUP(B14,Sprites!$A$2:$B$1200,2,FALSE),"")</f>
        <v/>
      </c>
      <c r="B14" s="17" t="s">
        <v>111</v>
      </c>
      <c r="C14" s="8">
        <v>330.0</v>
      </c>
      <c r="D14" s="8" t="s">
        <v>87</v>
      </c>
      <c r="E14" s="18">
        <v>495.0</v>
      </c>
      <c r="F14" s="8">
        <v>3.0</v>
      </c>
      <c r="G14" s="8" t="s">
        <v>25</v>
      </c>
      <c r="H14" s="8">
        <v>7.0</v>
      </c>
      <c r="I14" s="19">
        <v>13.0</v>
      </c>
      <c r="M14" s="25"/>
      <c r="O14" s="25"/>
    </row>
    <row r="15" ht="22.5" customHeight="1">
      <c r="A15" s="16" t="str">
        <f>IFNA(VLOOKUP(B15,Sprites!$A$2:$B$1200,2,FALSE),"")</f>
        <v/>
      </c>
      <c r="B15" s="17" t="s">
        <v>229</v>
      </c>
      <c r="C15" s="8">
        <v>369.0</v>
      </c>
      <c r="D15" s="8" t="s">
        <v>117</v>
      </c>
      <c r="E15" s="18">
        <v>507.0</v>
      </c>
      <c r="F15" s="8">
        <v>6.0</v>
      </c>
      <c r="G15" s="8" t="s">
        <v>33</v>
      </c>
      <c r="H15" s="8">
        <v>7.0</v>
      </c>
      <c r="I15" s="19">
        <v>14.0</v>
      </c>
      <c r="M15" s="25"/>
      <c r="O15" s="25"/>
    </row>
    <row r="16" ht="22.5" customHeight="1">
      <c r="A16" s="16" t="str">
        <f>IFNA(VLOOKUP(B16,Sprites!$A$2:$B$1200,2,FALSE),"")</f>
        <v/>
      </c>
      <c r="B16" s="17" t="s">
        <v>230</v>
      </c>
      <c r="C16" s="8">
        <v>350.0</v>
      </c>
      <c r="D16" s="8" t="s">
        <v>69</v>
      </c>
      <c r="E16" s="18">
        <v>555.0</v>
      </c>
      <c r="F16" s="8">
        <v>7.0</v>
      </c>
      <c r="G16" s="8" t="s">
        <v>24</v>
      </c>
      <c r="H16" s="8">
        <v>6.0</v>
      </c>
      <c r="I16" s="19">
        <v>15.0</v>
      </c>
      <c r="M16" s="25"/>
      <c r="O16" s="25"/>
    </row>
    <row r="17" ht="22.5" customHeight="1">
      <c r="A17" s="16" t="str">
        <f>IFNA(VLOOKUP(B17,Sprites!$A$2:$B$1200,2,FALSE),"")</f>
        <v/>
      </c>
      <c r="B17" s="17" t="s">
        <v>231</v>
      </c>
      <c r="C17" s="8">
        <v>410.0</v>
      </c>
      <c r="D17" s="8" t="s">
        <v>51</v>
      </c>
      <c r="E17" s="18">
        <v>500.0</v>
      </c>
      <c r="F17" s="8">
        <v>6.0</v>
      </c>
      <c r="H17" s="8">
        <v>6.0</v>
      </c>
      <c r="I17" s="19">
        <v>16.0</v>
      </c>
      <c r="M17" s="25"/>
      <c r="O17" s="25"/>
    </row>
    <row r="18" ht="22.5" customHeight="1">
      <c r="A18" s="16" t="str">
        <f>IFNA(VLOOKUP(B18,Sprites!$A$2:$B$1200,2,FALSE),"")</f>
        <v/>
      </c>
      <c r="B18" s="17" t="s">
        <v>232</v>
      </c>
      <c r="C18" s="8">
        <v>255.0</v>
      </c>
      <c r="D18" s="8" t="s">
        <v>69</v>
      </c>
      <c r="E18" s="18">
        <v>525.0</v>
      </c>
      <c r="F18" s="8">
        <v>6.0</v>
      </c>
      <c r="H18" s="8">
        <v>6.0</v>
      </c>
      <c r="I18" s="19">
        <v>17.0</v>
      </c>
      <c r="M18" s="25"/>
      <c r="O18" s="25"/>
    </row>
    <row r="19" ht="22.5" customHeight="1">
      <c r="A19" s="16" t="str">
        <f>IFNA(VLOOKUP(B19,Sprites!$A$2:$B$1200,2,FALSE),"")</f>
        <v/>
      </c>
      <c r="B19" s="17" t="s">
        <v>233</v>
      </c>
      <c r="C19" s="8">
        <v>365.0</v>
      </c>
      <c r="D19" s="8" t="s">
        <v>90</v>
      </c>
      <c r="E19" s="18">
        <v>495.0</v>
      </c>
      <c r="F19" s="8">
        <v>5.0</v>
      </c>
      <c r="H19" s="8">
        <v>5.0</v>
      </c>
      <c r="I19" s="19">
        <v>18.0</v>
      </c>
      <c r="M19" s="25"/>
      <c r="O19" s="25"/>
    </row>
    <row r="20" ht="22.5" customHeight="1">
      <c r="A20" s="16" t="str">
        <f>IFNA(VLOOKUP(B20,Sprites!$A$2:$B$1200,2,FALSE),"")</f>
        <v/>
      </c>
      <c r="B20" s="17" t="s">
        <v>54</v>
      </c>
      <c r="C20" s="8">
        <v>305.0</v>
      </c>
      <c r="D20" s="8" t="s">
        <v>55</v>
      </c>
      <c r="E20" s="18">
        <v>525.0</v>
      </c>
      <c r="F20" s="8">
        <v>4.0</v>
      </c>
      <c r="G20" s="8" t="s">
        <v>39</v>
      </c>
      <c r="H20" s="8">
        <v>5.0</v>
      </c>
      <c r="I20" s="19">
        <v>19.0</v>
      </c>
      <c r="M20" s="25"/>
      <c r="O20" s="25"/>
    </row>
    <row r="21" ht="22.5" customHeight="1">
      <c r="A21" s="16" t="str">
        <f>IFNA(VLOOKUP(B21,Sprites!$A$2:$B$1200,2,FALSE),"")</f>
        <v/>
      </c>
      <c r="B21" s="17" t="s">
        <v>234</v>
      </c>
      <c r="C21" s="8">
        <v>316.0</v>
      </c>
      <c r="D21" s="8" t="s">
        <v>69</v>
      </c>
      <c r="E21" s="18">
        <v>498.0</v>
      </c>
      <c r="F21" s="8">
        <v>9.0</v>
      </c>
      <c r="H21" s="8">
        <v>5.0</v>
      </c>
      <c r="I21" s="19">
        <v>20.0</v>
      </c>
      <c r="M21" s="25"/>
      <c r="O21" s="25"/>
    </row>
    <row r="22" ht="22.5" customHeight="1">
      <c r="A22" s="16" t="str">
        <f>IFNA(VLOOKUP(B22,Sprites!$A$2:$B$1200,2,FALSE),"")</f>
        <v/>
      </c>
      <c r="B22" s="17" t="s">
        <v>235</v>
      </c>
      <c r="C22" s="8">
        <v>299.0</v>
      </c>
      <c r="D22" s="8" t="s">
        <v>69</v>
      </c>
      <c r="E22" s="18">
        <v>505.0</v>
      </c>
      <c r="F22" s="8">
        <v>6.0</v>
      </c>
      <c r="H22" s="8">
        <v>5.0</v>
      </c>
      <c r="I22" s="19">
        <v>21.0</v>
      </c>
      <c r="M22" s="25"/>
      <c r="O22" s="25"/>
    </row>
    <row r="23" ht="22.5" customHeight="1">
      <c r="A23" s="16" t="str">
        <f>IFNA(VLOOKUP(B23,Sprites!$A$2:$B$1200,2,FALSE),"")</f>
        <v/>
      </c>
      <c r="B23" s="17" t="s">
        <v>236</v>
      </c>
      <c r="C23" s="8">
        <v>315.0</v>
      </c>
      <c r="D23" s="8" t="s">
        <v>117</v>
      </c>
      <c r="E23" s="18">
        <v>480.0</v>
      </c>
      <c r="F23" s="8">
        <v>6.0</v>
      </c>
      <c r="H23" s="8">
        <v>4.0</v>
      </c>
      <c r="I23" s="19">
        <v>22.0</v>
      </c>
      <c r="M23" s="25"/>
      <c r="O23" s="25"/>
    </row>
    <row r="24" ht="22.5" customHeight="1">
      <c r="A24" s="16" t="str">
        <f>IFNA(VLOOKUP(B24,Sprites!$A$2:$B$1200,2,FALSE),"")</f>
        <v/>
      </c>
      <c r="B24" s="17" t="s">
        <v>237</v>
      </c>
      <c r="C24" s="8">
        <v>320.0</v>
      </c>
      <c r="D24" s="8" t="s">
        <v>53</v>
      </c>
      <c r="E24" s="18">
        <v>480.0</v>
      </c>
      <c r="F24" s="8">
        <v>5.0</v>
      </c>
      <c r="G24" s="8" t="s">
        <v>28</v>
      </c>
      <c r="H24" s="8">
        <v>4.0</v>
      </c>
      <c r="I24" s="19">
        <v>23.0</v>
      </c>
      <c r="M24" s="25"/>
      <c r="O24" s="25"/>
    </row>
    <row r="25" ht="22.5" customHeight="1">
      <c r="A25" s="16" t="str">
        <f>IFNA(VLOOKUP(B25,Sprites!$A$2:$B$1200,2,FALSE),"")</f>
        <v/>
      </c>
      <c r="B25" s="17" t="s">
        <v>238</v>
      </c>
      <c r="C25" s="8">
        <v>275.0</v>
      </c>
      <c r="D25" s="8" t="s">
        <v>65</v>
      </c>
      <c r="E25" s="18">
        <v>370.0</v>
      </c>
      <c r="F25" s="8">
        <v>3.0</v>
      </c>
      <c r="G25" s="8" t="s">
        <v>29</v>
      </c>
      <c r="H25" s="8">
        <v>3.0</v>
      </c>
      <c r="I25" s="19">
        <v>24.0</v>
      </c>
      <c r="M25" s="25"/>
      <c r="O25" s="25"/>
    </row>
    <row r="26" ht="22.5" customHeight="1">
      <c r="A26" s="16" t="str">
        <f>IFNA(VLOOKUP(B26,Sprites!$A$2:$B$1200,2,FALSE),"")</f>
        <v/>
      </c>
      <c r="B26" s="17" t="s">
        <v>239</v>
      </c>
      <c r="C26" s="8">
        <v>305.0</v>
      </c>
      <c r="D26" s="8" t="s">
        <v>53</v>
      </c>
      <c r="E26" s="18">
        <v>460.0</v>
      </c>
      <c r="F26" s="8">
        <v>7.0</v>
      </c>
      <c r="G26" s="8" t="s">
        <v>38</v>
      </c>
      <c r="H26" s="8">
        <v>2.0</v>
      </c>
      <c r="I26" s="19">
        <v>25.0</v>
      </c>
      <c r="M26" s="25"/>
      <c r="O26" s="25"/>
    </row>
    <row r="27">
      <c r="A27" s="26" t="str">
        <f>IFNA(VLOOKUP(B27,Sprites!$A$2:$B$1200,2,FALSE),"")</f>
        <v/>
      </c>
      <c r="B27" s="14"/>
      <c r="E27" s="25"/>
      <c r="I27" s="14"/>
      <c r="M27" s="25"/>
      <c r="O27" s="25"/>
    </row>
    <row r="28">
      <c r="A28" s="26" t="str">
        <f>IFNA(VLOOKUP(B28,Sprites!$A$2:$B$1200,2,FALSE),"")</f>
        <v/>
      </c>
      <c r="B28" s="14"/>
      <c r="E28" s="25"/>
      <c r="I28" s="14"/>
      <c r="M28" s="25"/>
      <c r="O28" s="25"/>
    </row>
    <row r="29">
      <c r="A29" s="26" t="str">
        <f>IFNA(VLOOKUP(B29,Sprites!$A$2:$B$1200,2,FALSE),"")</f>
        <v/>
      </c>
      <c r="B29" s="14"/>
      <c r="E29" s="25"/>
      <c r="I29" s="14"/>
      <c r="M29" s="25"/>
      <c r="O29" s="25"/>
    </row>
    <row r="30">
      <c r="A30" s="26" t="str">
        <f>IFNA(VLOOKUP(B30,Sprites!$A$2:$B$1200,2,FALSE),"")</f>
        <v/>
      </c>
      <c r="B30" s="14"/>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32.0</v>
      </c>
    </row>
    <row r="2" ht="22.5" customHeight="1">
      <c r="A2" s="16" t="str">
        <f>IFNA(VLOOKUP(B2,Sprites!$A$2:$B$1200,2,FALSE),"")</f>
        <v/>
      </c>
      <c r="B2" s="17" t="s">
        <v>240</v>
      </c>
      <c r="C2" s="8">
        <v>401.0</v>
      </c>
      <c r="D2" s="8" t="s">
        <v>208</v>
      </c>
      <c r="E2" s="18">
        <v>567.0</v>
      </c>
      <c r="F2" s="8">
        <v>11.0</v>
      </c>
      <c r="G2" s="8" t="s">
        <v>24</v>
      </c>
      <c r="H2" s="8">
        <v>10.0</v>
      </c>
      <c r="I2" s="19">
        <v>1.0</v>
      </c>
      <c r="J2" s="14" t="s">
        <v>19</v>
      </c>
      <c r="K2" s="20">
        <f>SUM(C2:C1001)/K1</f>
        <v>303.0625</v>
      </c>
    </row>
    <row r="3" ht="22.5" customHeight="1">
      <c r="A3" s="16" t="str">
        <f>IFNA(VLOOKUP(B3,Sprites!$A$2:$B$1200,2,FALSE),"")</f>
        <v/>
      </c>
      <c r="B3" s="17" t="s">
        <v>241</v>
      </c>
      <c r="C3" s="8">
        <v>430.0</v>
      </c>
      <c r="D3" s="8" t="s">
        <v>69</v>
      </c>
      <c r="E3" s="18">
        <v>510.0</v>
      </c>
      <c r="F3" s="8">
        <v>10.0</v>
      </c>
      <c r="G3" s="8" t="s">
        <v>38</v>
      </c>
      <c r="H3" s="8">
        <v>8.0</v>
      </c>
      <c r="I3" s="19">
        <v>2.0</v>
      </c>
      <c r="J3" s="14" t="s">
        <v>20</v>
      </c>
      <c r="K3" s="20">
        <f>SUM(H2:H1001)/K1</f>
        <v>4.21875</v>
      </c>
    </row>
    <row r="4" ht="22.5" customHeight="1">
      <c r="A4" s="16" t="str">
        <f>IFNA(VLOOKUP(B4,Sprites!$A$2:$B$1200,2,FALSE),"")</f>
        <v/>
      </c>
      <c r="B4" s="17" t="s">
        <v>242</v>
      </c>
      <c r="C4" s="8">
        <v>320.0</v>
      </c>
      <c r="D4" s="8" t="s">
        <v>221</v>
      </c>
      <c r="E4" s="18">
        <v>420.0</v>
      </c>
      <c r="F4" s="8">
        <v>3.0</v>
      </c>
      <c r="G4" s="8" t="s">
        <v>27</v>
      </c>
      <c r="H4" s="8">
        <v>8.0</v>
      </c>
      <c r="I4" s="19">
        <v>3.0</v>
      </c>
      <c r="J4" s="14" t="s">
        <v>56</v>
      </c>
      <c r="K4" s="21">
        <f>COUNTIF(D2:D1000, "Roguestone")</f>
        <v>2</v>
      </c>
    </row>
    <row r="5" ht="22.5" customHeight="1">
      <c r="A5" s="16" t="str">
        <f>IFNA(VLOOKUP(B5,Sprites!$A$2:$B$1200,2,FALSE),"")</f>
        <v/>
      </c>
      <c r="B5" s="17" t="s">
        <v>110</v>
      </c>
      <c r="C5" s="8">
        <v>405.0</v>
      </c>
      <c r="D5" s="8" t="s">
        <v>69</v>
      </c>
      <c r="E5" s="18">
        <v>505.0</v>
      </c>
      <c r="F5" s="8">
        <v>7.0</v>
      </c>
      <c r="G5" s="8" t="s">
        <v>25</v>
      </c>
      <c r="H5" s="8">
        <v>7.0</v>
      </c>
      <c r="I5" s="19">
        <v>4.0</v>
      </c>
      <c r="J5" s="14" t="s">
        <v>58</v>
      </c>
      <c r="K5" s="22">
        <f>K4/K1</f>
        <v>0.0625</v>
      </c>
    </row>
    <row r="6" ht="22.5" customHeight="1">
      <c r="A6" s="16" t="str">
        <f>IFNA(VLOOKUP(B6,Sprites!$A$2:$B$1200,2,FALSE),"")</f>
        <v/>
      </c>
      <c r="B6" s="17" t="s">
        <v>243</v>
      </c>
      <c r="C6" s="8">
        <v>348.0</v>
      </c>
      <c r="D6" s="8" t="s">
        <v>55</v>
      </c>
      <c r="E6" s="18">
        <v>498.0</v>
      </c>
      <c r="F6" s="8">
        <v>6.0</v>
      </c>
      <c r="G6" s="8" t="s">
        <v>29</v>
      </c>
      <c r="H6" s="8">
        <v>6.0</v>
      </c>
      <c r="I6" s="19">
        <v>5.0</v>
      </c>
      <c r="L6" s="23"/>
      <c r="M6" s="24"/>
      <c r="N6" s="23"/>
      <c r="O6" s="24"/>
    </row>
    <row r="7" ht="22.5" customHeight="1">
      <c r="A7" s="16" t="str">
        <f>IFNA(VLOOKUP(B7,Sprites!$A$2:$B$1200,2,FALSE),"")</f>
        <v/>
      </c>
      <c r="B7" s="17" t="s">
        <v>114</v>
      </c>
      <c r="C7" s="8">
        <v>370.0</v>
      </c>
      <c r="D7" s="8" t="s">
        <v>115</v>
      </c>
      <c r="E7" s="18">
        <v>510.0</v>
      </c>
      <c r="F7" s="8">
        <v>6.0</v>
      </c>
      <c r="G7" s="8" t="s">
        <v>25</v>
      </c>
      <c r="H7" s="8">
        <v>6.0</v>
      </c>
      <c r="I7" s="19">
        <v>6.0</v>
      </c>
      <c r="M7" s="25"/>
      <c r="O7" s="25"/>
    </row>
    <row r="8" ht="22.5" customHeight="1">
      <c r="A8" s="16" t="str">
        <f>IFNA(VLOOKUP(B8,Sprites!$A$2:$B$1200,2,FALSE),"")</f>
        <v/>
      </c>
      <c r="B8" s="17" t="s">
        <v>52</v>
      </c>
      <c r="C8" s="8">
        <v>313.0</v>
      </c>
      <c r="D8" s="8" t="s">
        <v>53</v>
      </c>
      <c r="E8" s="18">
        <v>515.0</v>
      </c>
      <c r="F8" s="8">
        <v>7.0</v>
      </c>
      <c r="G8" s="8" t="s">
        <v>39</v>
      </c>
      <c r="H8" s="8">
        <v>6.0</v>
      </c>
      <c r="I8" s="19">
        <v>7.0</v>
      </c>
      <c r="M8" s="25"/>
      <c r="O8" s="25"/>
    </row>
    <row r="9" ht="22.5" customHeight="1">
      <c r="A9" s="16" t="str">
        <f>IFNA(VLOOKUP(B9,Sprites!$A$2:$B$1200,2,FALSE),"")</f>
        <v/>
      </c>
      <c r="B9" s="17" t="s">
        <v>244</v>
      </c>
      <c r="C9" s="8">
        <v>345.0</v>
      </c>
      <c r="D9" s="8" t="s">
        <v>117</v>
      </c>
      <c r="E9" s="18">
        <v>485.0</v>
      </c>
      <c r="F9" s="8">
        <v>6.0</v>
      </c>
      <c r="G9" s="8" t="s">
        <v>26</v>
      </c>
      <c r="H9" s="8">
        <v>6.0</v>
      </c>
      <c r="I9" s="19">
        <v>8.0</v>
      </c>
      <c r="M9" s="25"/>
      <c r="O9" s="25"/>
    </row>
    <row r="10" ht="22.5" customHeight="1">
      <c r="A10" s="16" t="str">
        <f>IFNA(VLOOKUP(B10,Sprites!$A$2:$B$1200,2,FALSE),"")</f>
        <v/>
      </c>
      <c r="B10" s="17" t="s">
        <v>245</v>
      </c>
      <c r="C10" s="8">
        <v>245.0</v>
      </c>
      <c r="D10" s="8" t="s">
        <v>217</v>
      </c>
      <c r="E10" s="18">
        <v>420.0</v>
      </c>
      <c r="F10" s="8">
        <v>2.0</v>
      </c>
      <c r="G10" s="8" t="s">
        <v>33</v>
      </c>
      <c r="H10" s="8">
        <v>5.0</v>
      </c>
      <c r="I10" s="19">
        <v>9.0</v>
      </c>
      <c r="M10" s="25"/>
      <c r="O10" s="25"/>
    </row>
    <row r="11" ht="22.5" customHeight="1">
      <c r="A11" s="16" t="str">
        <f>IFNA(VLOOKUP(B11,Sprites!$A$2:$B$1200,2,FALSE),"")</f>
        <v/>
      </c>
      <c r="B11" s="17" t="s">
        <v>164</v>
      </c>
      <c r="C11" s="8">
        <v>280.0</v>
      </c>
      <c r="D11" s="8" t="s">
        <v>77</v>
      </c>
      <c r="E11" s="18">
        <v>490.0</v>
      </c>
      <c r="F11" s="8">
        <v>4.0</v>
      </c>
      <c r="G11" s="8" t="s">
        <v>31</v>
      </c>
      <c r="H11" s="8">
        <v>5.0</v>
      </c>
      <c r="I11" s="19">
        <v>10.0</v>
      </c>
      <c r="M11" s="25"/>
      <c r="O11" s="25"/>
    </row>
    <row r="12" ht="22.5" customHeight="1">
      <c r="A12" s="16" t="str">
        <f>IFNA(VLOOKUP(B12,Sprites!$A$2:$B$1200,2,FALSE),"")</f>
        <v/>
      </c>
      <c r="B12" s="17" t="s">
        <v>246</v>
      </c>
      <c r="C12" s="8">
        <v>350.0</v>
      </c>
      <c r="D12" s="8" t="s">
        <v>51</v>
      </c>
      <c r="E12" s="18">
        <v>510.0</v>
      </c>
      <c r="F12" s="8">
        <v>5.0</v>
      </c>
      <c r="G12" s="8" t="s">
        <v>33</v>
      </c>
      <c r="H12" s="8">
        <v>5.0</v>
      </c>
      <c r="I12" s="19">
        <v>11.0</v>
      </c>
      <c r="M12" s="25"/>
      <c r="O12" s="25"/>
    </row>
    <row r="13" ht="22.5" customHeight="1">
      <c r="A13" s="16" t="str">
        <f>IFNA(VLOOKUP(B13,Sprites!$A$2:$B$1200,2,FALSE),"")</f>
        <v/>
      </c>
      <c r="B13" s="17" t="s">
        <v>247</v>
      </c>
      <c r="C13" s="8">
        <v>265.0</v>
      </c>
      <c r="D13" s="8" t="s">
        <v>217</v>
      </c>
      <c r="E13" s="18">
        <v>384.0</v>
      </c>
      <c r="F13" s="8">
        <v>2.0</v>
      </c>
      <c r="G13" s="8" t="s">
        <v>33</v>
      </c>
      <c r="H13" s="8">
        <v>4.0</v>
      </c>
      <c r="I13" s="19">
        <v>12.0</v>
      </c>
      <c r="M13" s="25"/>
      <c r="O13" s="25"/>
    </row>
    <row r="14" ht="22.5" customHeight="1">
      <c r="A14" s="16" t="str">
        <f>IFNA(VLOOKUP(B14,Sprites!$A$2:$B$1200,2,FALSE),"")</f>
        <v/>
      </c>
      <c r="B14" s="17" t="s">
        <v>248</v>
      </c>
      <c r="C14" s="8">
        <v>278.0</v>
      </c>
      <c r="D14" s="8" t="s">
        <v>221</v>
      </c>
      <c r="E14" s="18">
        <v>382.0</v>
      </c>
      <c r="F14" s="8">
        <v>2.0</v>
      </c>
      <c r="G14" s="8" t="s">
        <v>33</v>
      </c>
      <c r="H14" s="8">
        <v>4.0</v>
      </c>
      <c r="I14" s="19">
        <v>13.0</v>
      </c>
      <c r="M14" s="25"/>
      <c r="O14" s="25"/>
    </row>
    <row r="15" ht="22.5" customHeight="1">
      <c r="A15" s="16" t="str">
        <f>IFNA(VLOOKUP(B15,Sprites!$A$2:$B$1200,2,FALSE),"")</f>
        <v/>
      </c>
      <c r="B15" s="17" t="s">
        <v>60</v>
      </c>
      <c r="C15" s="8">
        <v>265.0</v>
      </c>
      <c r="D15" s="8" t="s">
        <v>61</v>
      </c>
      <c r="E15" s="18">
        <v>390.0</v>
      </c>
      <c r="F15" s="8">
        <v>4.0</v>
      </c>
      <c r="G15" s="8" t="s">
        <v>39</v>
      </c>
      <c r="H15" s="8">
        <v>4.0</v>
      </c>
      <c r="I15" s="19">
        <v>14.0</v>
      </c>
      <c r="M15" s="25"/>
      <c r="O15" s="25"/>
    </row>
    <row r="16" ht="22.5" customHeight="1">
      <c r="A16" s="16" t="str">
        <f>IFNA(VLOOKUP(B16,Sprites!$A$2:$B$1200,2,FALSE),"")</f>
        <v/>
      </c>
      <c r="B16" s="17" t="s">
        <v>249</v>
      </c>
      <c r="C16" s="8">
        <v>320.0</v>
      </c>
      <c r="D16" s="8" t="s">
        <v>77</v>
      </c>
      <c r="E16" s="18">
        <v>470.0</v>
      </c>
      <c r="F16" s="8">
        <v>3.0</v>
      </c>
      <c r="G16" s="8" t="s">
        <v>34</v>
      </c>
      <c r="H16" s="8">
        <v>4.0</v>
      </c>
      <c r="I16" s="19">
        <v>15.0</v>
      </c>
      <c r="M16" s="25"/>
      <c r="O16" s="25"/>
    </row>
    <row r="17" ht="22.5" customHeight="1">
      <c r="A17" s="16" t="str">
        <f>IFNA(VLOOKUP(B17,Sprites!$A$2:$B$1200,2,FALSE),"")</f>
        <v/>
      </c>
      <c r="B17" s="17" t="s">
        <v>250</v>
      </c>
      <c r="C17" s="8">
        <v>310.0</v>
      </c>
      <c r="D17" s="8" t="s">
        <v>80</v>
      </c>
      <c r="E17" s="18">
        <v>470.0</v>
      </c>
      <c r="F17" s="8">
        <v>6.0</v>
      </c>
      <c r="G17" s="8" t="s">
        <v>33</v>
      </c>
      <c r="H17" s="8">
        <v>4.0</v>
      </c>
      <c r="I17" s="19">
        <v>16.0</v>
      </c>
      <c r="M17" s="25"/>
      <c r="O17" s="25"/>
    </row>
    <row r="18" ht="22.5" customHeight="1">
      <c r="A18" s="16" t="str">
        <f>IFNA(VLOOKUP(B18,Sprites!$A$2:$B$1200,2,FALSE),"")</f>
        <v/>
      </c>
      <c r="B18" s="17" t="s">
        <v>251</v>
      </c>
      <c r="C18" s="8">
        <v>323.0</v>
      </c>
      <c r="D18" s="8" t="s">
        <v>67</v>
      </c>
      <c r="E18" s="18">
        <v>425.0</v>
      </c>
      <c r="F18" s="8">
        <v>5.0</v>
      </c>
      <c r="G18" s="8" t="s">
        <v>34</v>
      </c>
      <c r="H18" s="8">
        <v>4.0</v>
      </c>
      <c r="I18" s="19">
        <v>17.0</v>
      </c>
      <c r="M18" s="25"/>
      <c r="O18" s="25"/>
    </row>
    <row r="19" ht="22.5" customHeight="1">
      <c r="A19" s="16" t="str">
        <f>IFNA(VLOOKUP(B19,Sprites!$A$2:$B$1200,2,FALSE),"")</f>
        <v/>
      </c>
      <c r="B19" s="17" t="s">
        <v>252</v>
      </c>
      <c r="C19" s="8">
        <v>245.0</v>
      </c>
      <c r="D19" s="8" t="s">
        <v>61</v>
      </c>
      <c r="E19" s="18">
        <v>365.0</v>
      </c>
      <c r="F19" s="8">
        <v>2.0</v>
      </c>
      <c r="H19" s="8">
        <v>3.0</v>
      </c>
      <c r="I19" s="19">
        <v>18.0</v>
      </c>
      <c r="M19" s="25"/>
      <c r="O19" s="25"/>
    </row>
    <row r="20" ht="22.5" customHeight="1">
      <c r="A20" s="16" t="str">
        <f>IFNA(VLOOKUP(B20,Sprites!$A$2:$B$1200,2,FALSE),"")</f>
        <v/>
      </c>
      <c r="B20" s="17" t="s">
        <v>253</v>
      </c>
      <c r="C20" s="8">
        <v>250.0</v>
      </c>
      <c r="D20" s="8" t="s">
        <v>61</v>
      </c>
      <c r="E20" s="18">
        <v>340.0</v>
      </c>
      <c r="F20" s="8">
        <v>5.0</v>
      </c>
      <c r="G20" s="8" t="s">
        <v>27</v>
      </c>
      <c r="H20" s="8">
        <v>3.0</v>
      </c>
      <c r="I20" s="19">
        <v>19.0</v>
      </c>
      <c r="M20" s="25"/>
      <c r="O20" s="25"/>
    </row>
    <row r="21" ht="22.5" customHeight="1">
      <c r="A21" s="16" t="str">
        <f>IFNA(VLOOKUP(B21,Sprites!$A$2:$B$1200,2,FALSE),"")</f>
        <v/>
      </c>
      <c r="B21" s="17" t="s">
        <v>150</v>
      </c>
      <c r="C21" s="8">
        <v>245.0</v>
      </c>
      <c r="D21" s="8" t="s">
        <v>131</v>
      </c>
      <c r="E21" s="18">
        <v>535.0</v>
      </c>
      <c r="F21" s="8">
        <v>6.0</v>
      </c>
      <c r="G21" s="8" t="s">
        <v>23</v>
      </c>
      <c r="H21" s="8">
        <v>3.0</v>
      </c>
      <c r="I21" s="19">
        <v>20.0</v>
      </c>
      <c r="M21" s="25"/>
      <c r="O21" s="25"/>
    </row>
    <row r="22" ht="22.5" customHeight="1">
      <c r="A22" s="16" t="str">
        <f>IFNA(VLOOKUP(B22,Sprites!$A$2:$B$1200,2,FALSE),"")</f>
        <v/>
      </c>
      <c r="B22" s="17" t="s">
        <v>254</v>
      </c>
      <c r="C22" s="8">
        <v>377.0</v>
      </c>
      <c r="D22" s="8" t="s">
        <v>113</v>
      </c>
      <c r="E22" s="18">
        <v>477.0</v>
      </c>
      <c r="F22" s="8">
        <v>8.0</v>
      </c>
      <c r="G22" s="8" t="s">
        <v>33</v>
      </c>
      <c r="H22" s="8">
        <v>3.0</v>
      </c>
      <c r="I22" s="19">
        <v>21.0</v>
      </c>
      <c r="M22" s="25"/>
      <c r="O22" s="25"/>
    </row>
    <row r="23" ht="22.5" customHeight="1">
      <c r="A23" s="16" t="str">
        <f>IFNA(VLOOKUP(B23,Sprites!$A$2:$B$1200,2,FALSE),"")</f>
        <v/>
      </c>
      <c r="B23" s="17" t="s">
        <v>255</v>
      </c>
      <c r="C23" s="8">
        <v>270.0</v>
      </c>
      <c r="D23" s="8" t="s">
        <v>73</v>
      </c>
      <c r="E23" s="18">
        <v>430.0</v>
      </c>
      <c r="F23" s="8">
        <v>4.0</v>
      </c>
      <c r="G23" s="8" t="s">
        <v>33</v>
      </c>
      <c r="H23" s="8">
        <v>3.0</v>
      </c>
      <c r="I23" s="19">
        <v>22.0</v>
      </c>
      <c r="M23" s="25"/>
      <c r="O23" s="25"/>
    </row>
    <row r="24" ht="22.5" customHeight="1">
      <c r="A24" s="16" t="str">
        <f>IFNA(VLOOKUP(B24,Sprites!$A$2:$B$1200,2,FALSE),"")</f>
        <v/>
      </c>
      <c r="B24" s="17" t="s">
        <v>256</v>
      </c>
      <c r="C24" s="8">
        <v>262.0</v>
      </c>
      <c r="D24" s="8" t="s">
        <v>65</v>
      </c>
      <c r="E24" s="18">
        <v>442.0</v>
      </c>
      <c r="F24" s="8">
        <v>3.0</v>
      </c>
      <c r="G24" s="8" t="s">
        <v>33</v>
      </c>
      <c r="H24" s="8">
        <v>3.0</v>
      </c>
      <c r="I24" s="19">
        <v>23.0</v>
      </c>
      <c r="M24" s="25"/>
      <c r="O24" s="25"/>
    </row>
    <row r="25" ht="22.5" customHeight="1">
      <c r="A25" s="16" t="str">
        <f>IFNA(VLOOKUP(B25,Sprites!$A$2:$B$1200,2,FALSE),"")</f>
        <v/>
      </c>
      <c r="B25" s="17" t="s">
        <v>257</v>
      </c>
      <c r="C25" s="8">
        <v>310.0</v>
      </c>
      <c r="D25" s="8" t="s">
        <v>117</v>
      </c>
      <c r="E25" s="18">
        <v>490.0</v>
      </c>
      <c r="F25" s="8">
        <v>6.0</v>
      </c>
      <c r="G25" s="8" t="s">
        <v>33</v>
      </c>
      <c r="H25" s="8">
        <v>3.0</v>
      </c>
      <c r="I25" s="19">
        <v>24.0</v>
      </c>
      <c r="M25" s="25"/>
      <c r="O25" s="25"/>
    </row>
    <row r="26" ht="22.5" customHeight="1">
      <c r="A26" s="16" t="str">
        <f>IFNA(VLOOKUP(B26,Sprites!$A$2:$B$1200,2,FALSE),"")</f>
        <v/>
      </c>
      <c r="B26" s="17" t="s">
        <v>258</v>
      </c>
      <c r="C26" s="8">
        <v>245.0</v>
      </c>
      <c r="D26" s="8" t="s">
        <v>73</v>
      </c>
      <c r="E26" s="18">
        <v>455.0</v>
      </c>
      <c r="F26" s="8">
        <v>3.0</v>
      </c>
      <c r="G26" s="8" t="s">
        <v>28</v>
      </c>
      <c r="H26" s="8">
        <v>3.0</v>
      </c>
      <c r="I26" s="19">
        <v>25.0</v>
      </c>
      <c r="M26" s="25"/>
      <c r="O26" s="25"/>
    </row>
    <row r="27" ht="22.5" customHeight="1">
      <c r="A27" s="16" t="str">
        <f>IFNA(VLOOKUP(B27,Sprites!$A$2:$B$1200,2,FALSE),"")</f>
        <v/>
      </c>
      <c r="B27" s="17" t="s">
        <v>259</v>
      </c>
      <c r="C27" s="8">
        <v>305.0</v>
      </c>
      <c r="D27" s="8" t="s">
        <v>117</v>
      </c>
      <c r="E27" s="18">
        <v>473.0</v>
      </c>
      <c r="F27" s="8">
        <v>9.0</v>
      </c>
      <c r="G27" s="8" t="s">
        <v>26</v>
      </c>
      <c r="H27" s="8">
        <v>3.0</v>
      </c>
      <c r="I27" s="19">
        <v>26.0</v>
      </c>
      <c r="M27" s="25"/>
      <c r="O27" s="25"/>
    </row>
    <row r="28" ht="22.5" customHeight="1">
      <c r="A28" s="16" t="str">
        <f>IFNA(VLOOKUP(B28,Sprites!$A$2:$B$1200,2,FALSE),"")</f>
        <v/>
      </c>
      <c r="B28" s="17" t="s">
        <v>260</v>
      </c>
      <c r="C28" s="8">
        <v>251.0</v>
      </c>
      <c r="D28" s="8" t="s">
        <v>61</v>
      </c>
      <c r="E28" s="18">
        <v>349.0</v>
      </c>
      <c r="F28" s="8">
        <v>2.0</v>
      </c>
      <c r="G28" s="8" t="s">
        <v>33</v>
      </c>
      <c r="H28" s="8">
        <v>2.0</v>
      </c>
      <c r="I28" s="19">
        <v>27.0</v>
      </c>
      <c r="M28" s="25"/>
      <c r="O28" s="25"/>
    </row>
    <row r="29" ht="22.5" customHeight="1">
      <c r="A29" s="16" t="str">
        <f>IFNA(VLOOKUP(B29,Sprites!$A$2:$B$1200,2,FALSE),"")</f>
        <v/>
      </c>
      <c r="B29" s="17" t="s">
        <v>261</v>
      </c>
      <c r="C29" s="8">
        <v>270.0</v>
      </c>
      <c r="D29" s="8" t="s">
        <v>77</v>
      </c>
      <c r="E29" s="18">
        <v>440.0</v>
      </c>
      <c r="F29" s="8">
        <v>3.0</v>
      </c>
      <c r="G29" s="8" t="s">
        <v>26</v>
      </c>
      <c r="H29" s="8">
        <v>2.0</v>
      </c>
      <c r="I29" s="19">
        <v>28.0</v>
      </c>
      <c r="M29" s="25"/>
      <c r="O29" s="25"/>
    </row>
    <row r="30" ht="22.5" customHeight="1">
      <c r="A30" s="16" t="str">
        <f>IFNA(VLOOKUP(B30,Sprites!$A$2:$B$1200,2,FALSE),"")</f>
        <v/>
      </c>
      <c r="B30" s="17" t="s">
        <v>262</v>
      </c>
      <c r="C30" s="8">
        <v>264.0</v>
      </c>
      <c r="D30" s="8" t="s">
        <v>94</v>
      </c>
      <c r="E30" s="18">
        <v>358.0</v>
      </c>
      <c r="F30" s="8">
        <v>3.0</v>
      </c>
      <c r="G30" s="8" t="s">
        <v>33</v>
      </c>
      <c r="H30" s="8">
        <v>2.0</v>
      </c>
      <c r="I30" s="19">
        <v>29.0</v>
      </c>
      <c r="M30" s="25"/>
      <c r="O30" s="25"/>
    </row>
    <row r="31" ht="22.5" customHeight="1">
      <c r="A31" s="16" t="str">
        <f>IFNA(VLOOKUP(B31,Sprites!$A$2:$B$1200,2,FALSE),"")</f>
        <v/>
      </c>
      <c r="B31" s="17" t="s">
        <v>263</v>
      </c>
      <c r="C31" s="8">
        <v>262.0</v>
      </c>
      <c r="D31" s="8" t="s">
        <v>65</v>
      </c>
      <c r="E31" s="18">
        <v>452.0</v>
      </c>
      <c r="F31" s="8">
        <v>4.0</v>
      </c>
      <c r="G31" s="8" t="s">
        <v>33</v>
      </c>
      <c r="H31" s="8">
        <v>2.0</v>
      </c>
      <c r="I31" s="19">
        <v>30.0</v>
      </c>
      <c r="M31" s="25"/>
      <c r="O31" s="25"/>
    </row>
    <row r="32" ht="22.5" customHeight="1">
      <c r="A32" s="16" t="str">
        <f>IFNA(VLOOKUP(B32,Sprites!$A$2:$B$1200,2,FALSE),"")</f>
        <v/>
      </c>
      <c r="B32" s="17" t="s">
        <v>93</v>
      </c>
      <c r="C32" s="8">
        <v>244.0</v>
      </c>
      <c r="D32" s="8" t="s">
        <v>94</v>
      </c>
      <c r="E32" s="18">
        <v>474.0</v>
      </c>
      <c r="F32" s="8">
        <v>0.0</v>
      </c>
      <c r="G32" s="8" t="s">
        <v>39</v>
      </c>
      <c r="H32" s="8">
        <v>2.0</v>
      </c>
      <c r="I32" s="19">
        <v>31.0</v>
      </c>
      <c r="M32" s="25"/>
      <c r="O32" s="25"/>
    </row>
    <row r="33" ht="22.5" customHeight="1">
      <c r="A33" s="16" t="str">
        <f>IFNA(VLOOKUP(B33,Sprites!$A$2:$B$1200,2,FALSE),"")</f>
        <v/>
      </c>
      <c r="B33" s="17" t="s">
        <v>264</v>
      </c>
      <c r="C33" s="8">
        <v>330.0</v>
      </c>
      <c r="D33" s="8" t="s">
        <v>113</v>
      </c>
      <c r="E33" s="18">
        <v>430.0</v>
      </c>
      <c r="F33" s="8">
        <v>1.0</v>
      </c>
      <c r="G33" s="8" t="s">
        <v>35</v>
      </c>
      <c r="H33" s="8">
        <v>2.0</v>
      </c>
      <c r="I33" s="19">
        <v>32.0</v>
      </c>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23.0</v>
      </c>
    </row>
    <row r="2" ht="22.5" customHeight="1">
      <c r="A2" s="16" t="str">
        <f>IFNA(VLOOKUP(B2,Sprites!$A$2:$B$1200,2,FALSE),"")</f>
        <v/>
      </c>
      <c r="B2" s="17" t="s">
        <v>265</v>
      </c>
      <c r="C2" s="8">
        <v>410.0</v>
      </c>
      <c r="D2" s="8" t="s">
        <v>120</v>
      </c>
      <c r="E2" s="18">
        <v>510.0</v>
      </c>
      <c r="F2" s="8">
        <v>6.0</v>
      </c>
      <c r="H2" s="8">
        <v>9.0</v>
      </c>
      <c r="I2" s="19">
        <v>1.0</v>
      </c>
      <c r="J2" s="14" t="s">
        <v>19</v>
      </c>
      <c r="K2" s="20">
        <f>SUM(C2:C1000)/K1</f>
        <v>320.0869565</v>
      </c>
    </row>
    <row r="3" ht="22.5" customHeight="1">
      <c r="A3" s="16" t="str">
        <f>IFNA(VLOOKUP(B3,Sprites!$A$2:$B$1200,2,FALSE),"")</f>
        <v/>
      </c>
      <c r="B3" s="17" t="s">
        <v>266</v>
      </c>
      <c r="C3" s="8">
        <v>330.0</v>
      </c>
      <c r="D3" s="8" t="s">
        <v>90</v>
      </c>
      <c r="E3" s="18">
        <v>510.0</v>
      </c>
      <c r="F3" s="8">
        <v>5.0</v>
      </c>
      <c r="G3" s="8" t="s">
        <v>33</v>
      </c>
      <c r="H3" s="8">
        <v>8.0</v>
      </c>
      <c r="I3" s="19">
        <v>2.0</v>
      </c>
      <c r="J3" s="14" t="s">
        <v>20</v>
      </c>
      <c r="K3" s="20">
        <f>SUM(H2:H1000)/K1</f>
        <v>4.434782609</v>
      </c>
    </row>
    <row r="4" ht="22.5" customHeight="1">
      <c r="A4" s="16" t="str">
        <f>IFNA(VLOOKUP(B4,Sprites!$A$2:$B$1200,2,FALSE),"")</f>
        <v/>
      </c>
      <c r="B4" s="17" t="s">
        <v>267</v>
      </c>
      <c r="C4" s="8">
        <v>435.0</v>
      </c>
      <c r="D4" s="8" t="s">
        <v>69</v>
      </c>
      <c r="E4" s="18">
        <v>495.0</v>
      </c>
      <c r="F4" s="8">
        <v>10.0</v>
      </c>
      <c r="H4" s="8">
        <v>7.0</v>
      </c>
      <c r="I4" s="19">
        <v>3.0</v>
      </c>
      <c r="J4" s="14" t="s">
        <v>56</v>
      </c>
      <c r="K4" s="21">
        <f>COUNTIF(D2:D1000, "Roguestone")</f>
        <v>5</v>
      </c>
    </row>
    <row r="5" ht="22.5" customHeight="1">
      <c r="A5" s="16" t="str">
        <f>IFNA(VLOOKUP(B5,Sprites!$A$2:$B$1200,2,FALSE),"")</f>
        <v/>
      </c>
      <c r="B5" s="17" t="s">
        <v>268</v>
      </c>
      <c r="C5" s="8">
        <v>275.0</v>
      </c>
      <c r="D5" s="8" t="s">
        <v>67</v>
      </c>
      <c r="E5" s="18">
        <v>480.0</v>
      </c>
      <c r="F5" s="8">
        <v>2.0</v>
      </c>
      <c r="G5" s="8" t="s">
        <v>27</v>
      </c>
      <c r="H5" s="8">
        <v>6.0</v>
      </c>
      <c r="I5" s="19">
        <v>4.0</v>
      </c>
      <c r="J5" s="14" t="s">
        <v>58</v>
      </c>
      <c r="K5" s="22">
        <f>K4/K1</f>
        <v>0.2173913043</v>
      </c>
    </row>
    <row r="6" ht="22.5" customHeight="1">
      <c r="A6" s="16" t="str">
        <f>IFNA(VLOOKUP(B6,Sprites!$A$2:$B$1200,2,FALSE),"")</f>
        <v/>
      </c>
      <c r="B6" s="17" t="s">
        <v>112</v>
      </c>
      <c r="C6" s="8">
        <v>380.0</v>
      </c>
      <c r="D6" s="8" t="s">
        <v>113</v>
      </c>
      <c r="E6" s="18">
        <v>480.0</v>
      </c>
      <c r="F6" s="8">
        <v>14.0</v>
      </c>
      <c r="G6" s="8" t="s">
        <v>25</v>
      </c>
      <c r="H6" s="8">
        <v>6.0</v>
      </c>
      <c r="I6" s="19">
        <v>5.0</v>
      </c>
      <c r="L6" s="23"/>
      <c r="M6" s="24"/>
      <c r="N6" s="23"/>
      <c r="O6" s="24"/>
    </row>
    <row r="7" ht="22.5" customHeight="1">
      <c r="A7" s="16" t="str">
        <f>IFNA(VLOOKUP(B7,Sprites!$A$2:$B$1200,2,FALSE),"")</f>
        <v/>
      </c>
      <c r="B7" s="17" t="s">
        <v>243</v>
      </c>
      <c r="C7" s="8">
        <v>348.0</v>
      </c>
      <c r="D7" s="8" t="s">
        <v>55</v>
      </c>
      <c r="E7" s="18">
        <v>498.0</v>
      </c>
      <c r="F7" s="8">
        <v>6.0</v>
      </c>
      <c r="G7" s="8" t="s">
        <v>32</v>
      </c>
      <c r="H7" s="8">
        <v>6.0</v>
      </c>
      <c r="I7" s="19">
        <v>6.0</v>
      </c>
      <c r="M7" s="25"/>
      <c r="O7" s="25"/>
    </row>
    <row r="8" ht="22.5" customHeight="1">
      <c r="A8" s="16" t="str">
        <f>IFNA(VLOOKUP(B8,Sprites!$A$2:$B$1200,2,FALSE),"")</f>
        <v/>
      </c>
      <c r="B8" s="17" t="s">
        <v>269</v>
      </c>
      <c r="C8" s="8">
        <v>300.0</v>
      </c>
      <c r="D8" s="8" t="s">
        <v>75</v>
      </c>
      <c r="E8" s="18">
        <v>550.0</v>
      </c>
      <c r="F8" s="8">
        <v>0.0</v>
      </c>
      <c r="H8" s="8">
        <v>5.0</v>
      </c>
      <c r="I8" s="19">
        <v>7.0</v>
      </c>
      <c r="M8" s="25"/>
      <c r="O8" s="25"/>
    </row>
    <row r="9" ht="22.5" customHeight="1">
      <c r="A9" s="16" t="str">
        <f>IFNA(VLOOKUP(B9,Sprites!$A$2:$B$1200,2,FALSE),"")</f>
        <v/>
      </c>
      <c r="B9" s="17" t="s">
        <v>270</v>
      </c>
      <c r="C9" s="8">
        <v>310.0</v>
      </c>
      <c r="D9" s="8" t="s">
        <v>77</v>
      </c>
      <c r="E9" s="18">
        <v>405.0</v>
      </c>
      <c r="F9" s="8">
        <v>4.0</v>
      </c>
      <c r="G9" s="8" t="s">
        <v>28</v>
      </c>
      <c r="H9" s="8">
        <v>5.0</v>
      </c>
      <c r="I9" s="19">
        <v>8.0</v>
      </c>
      <c r="M9" s="25"/>
      <c r="O9" s="25"/>
    </row>
    <row r="10" ht="22.5" customHeight="1">
      <c r="A10" s="16" t="str">
        <f>IFNA(VLOOKUP(B10,Sprites!$A$2:$B$1200,2,FALSE),"")</f>
        <v/>
      </c>
      <c r="B10" s="17" t="s">
        <v>271</v>
      </c>
      <c r="C10" s="8">
        <v>325.0</v>
      </c>
      <c r="D10" s="8" t="s">
        <v>117</v>
      </c>
      <c r="E10" s="18">
        <v>448.0</v>
      </c>
      <c r="F10" s="8">
        <v>6.0</v>
      </c>
      <c r="G10" s="8" t="s">
        <v>36</v>
      </c>
      <c r="H10" s="8">
        <v>5.0</v>
      </c>
      <c r="I10" s="19">
        <v>9.0</v>
      </c>
      <c r="M10" s="25"/>
      <c r="O10" s="25"/>
    </row>
    <row r="11" ht="22.5" customHeight="1">
      <c r="A11" s="16" t="str">
        <f>IFNA(VLOOKUP(B11,Sprites!$A$2:$B$1200,2,FALSE),"")</f>
        <v/>
      </c>
      <c r="B11" s="17" t="s">
        <v>149</v>
      </c>
      <c r="C11" s="8">
        <v>270.0</v>
      </c>
      <c r="D11" s="8" t="s">
        <v>90</v>
      </c>
      <c r="E11" s="18">
        <v>410.0</v>
      </c>
      <c r="F11" s="8">
        <v>0.0</v>
      </c>
      <c r="G11" s="8" t="s">
        <v>23</v>
      </c>
      <c r="H11" s="8">
        <v>4.0</v>
      </c>
      <c r="I11" s="19">
        <v>10.0</v>
      </c>
      <c r="M11" s="25"/>
      <c r="O11" s="25"/>
    </row>
    <row r="12" ht="22.5" customHeight="1">
      <c r="A12" s="16" t="str">
        <f>IFNA(VLOOKUP(B12,Sprites!$A$2:$B$1200,2,FALSE),"")</f>
        <v/>
      </c>
      <c r="B12" s="17" t="s">
        <v>272</v>
      </c>
      <c r="C12" s="8">
        <v>335.0</v>
      </c>
      <c r="D12" s="8" t="s">
        <v>69</v>
      </c>
      <c r="E12" s="18">
        <v>494.0</v>
      </c>
      <c r="F12" s="8">
        <v>9.0</v>
      </c>
      <c r="G12" s="8" t="s">
        <v>27</v>
      </c>
      <c r="H12" s="8">
        <v>4.0</v>
      </c>
      <c r="I12" s="19">
        <v>11.0</v>
      </c>
      <c r="M12" s="25"/>
      <c r="O12" s="25"/>
    </row>
    <row r="13" ht="22.5" customHeight="1">
      <c r="A13" s="16" t="str">
        <f>IFNA(VLOOKUP(B13,Sprites!$A$2:$B$1200,2,FALSE),"")</f>
        <v/>
      </c>
      <c r="B13" s="17" t="s">
        <v>273</v>
      </c>
      <c r="C13" s="8">
        <v>335.0</v>
      </c>
      <c r="D13" s="8" t="s">
        <v>51</v>
      </c>
      <c r="E13" s="18">
        <v>480.0</v>
      </c>
      <c r="F13" s="8">
        <v>7.0</v>
      </c>
      <c r="G13" s="8" t="s">
        <v>26</v>
      </c>
      <c r="H13" s="8">
        <v>4.0</v>
      </c>
      <c r="I13" s="19">
        <v>12.0</v>
      </c>
      <c r="M13" s="25"/>
      <c r="O13" s="25"/>
    </row>
    <row r="14" ht="22.5" customHeight="1">
      <c r="A14" s="16" t="str">
        <f>IFNA(VLOOKUP(B14,Sprites!$A$2:$B$1200,2,FALSE),"")</f>
        <v/>
      </c>
      <c r="B14" s="17" t="s">
        <v>274</v>
      </c>
      <c r="C14" s="8">
        <v>308.0</v>
      </c>
      <c r="D14" s="8" t="s">
        <v>69</v>
      </c>
      <c r="E14" s="18">
        <v>508.0</v>
      </c>
      <c r="F14" s="8">
        <v>4.0</v>
      </c>
      <c r="H14" s="8">
        <v>4.0</v>
      </c>
      <c r="I14" s="19">
        <v>13.0</v>
      </c>
      <c r="M14" s="25"/>
      <c r="O14" s="25"/>
    </row>
    <row r="15" ht="22.5" customHeight="1">
      <c r="A15" s="16" t="str">
        <f>IFNA(VLOOKUP(B15,Sprites!$A$2:$B$1200,2,FALSE),"")</f>
        <v/>
      </c>
      <c r="B15" s="17" t="s">
        <v>275</v>
      </c>
      <c r="C15" s="8">
        <v>308.0</v>
      </c>
      <c r="D15" s="8" t="s">
        <v>69</v>
      </c>
      <c r="E15" s="18">
        <v>508.0</v>
      </c>
      <c r="F15" s="8">
        <v>5.0</v>
      </c>
      <c r="G15" s="8" t="s">
        <v>27</v>
      </c>
      <c r="H15" s="8">
        <v>4.0</v>
      </c>
      <c r="I15" s="19">
        <v>14.0</v>
      </c>
      <c r="M15" s="25"/>
      <c r="O15" s="25"/>
    </row>
    <row r="16" ht="22.5" customHeight="1">
      <c r="A16" s="16" t="str">
        <f>IFNA(VLOOKUP(B16,Sprites!$A$2:$B$1200,2,FALSE),"")</f>
        <v/>
      </c>
      <c r="B16" s="17" t="s">
        <v>276</v>
      </c>
      <c r="C16" s="8">
        <v>303.0</v>
      </c>
      <c r="D16" s="8" t="s">
        <v>75</v>
      </c>
      <c r="E16" s="18">
        <v>483.0</v>
      </c>
      <c r="F16" s="8">
        <v>6.0</v>
      </c>
      <c r="H16" s="8">
        <v>4.0</v>
      </c>
      <c r="I16" s="19">
        <v>15.0</v>
      </c>
      <c r="M16" s="25"/>
      <c r="O16" s="25"/>
    </row>
    <row r="17" ht="22.5" customHeight="1">
      <c r="A17" s="16" t="str">
        <f>IFNA(VLOOKUP(B17,Sprites!$A$2:$B$1200,2,FALSE),"")</f>
        <v/>
      </c>
      <c r="B17" s="17" t="s">
        <v>277</v>
      </c>
      <c r="C17" s="8">
        <v>303.0</v>
      </c>
      <c r="D17" s="8" t="s">
        <v>75</v>
      </c>
      <c r="E17" s="18">
        <v>483.0</v>
      </c>
      <c r="F17" s="8">
        <v>6.0</v>
      </c>
      <c r="G17" s="8" t="s">
        <v>38</v>
      </c>
      <c r="H17" s="8">
        <v>4.0</v>
      </c>
      <c r="I17" s="19">
        <v>16.0</v>
      </c>
      <c r="M17" s="25"/>
      <c r="O17" s="25"/>
    </row>
    <row r="18" ht="22.5" customHeight="1">
      <c r="A18" s="16" t="str">
        <f>IFNA(VLOOKUP(B18,Sprites!$A$2:$B$1200,2,FALSE),"")</f>
        <v/>
      </c>
      <c r="B18" s="17" t="s">
        <v>238</v>
      </c>
      <c r="C18" s="8">
        <v>275.0</v>
      </c>
      <c r="D18" s="8" t="s">
        <v>65</v>
      </c>
      <c r="E18" s="18">
        <v>370.0</v>
      </c>
      <c r="F18" s="8">
        <v>3.0</v>
      </c>
      <c r="G18" s="8" t="s">
        <v>22</v>
      </c>
      <c r="H18" s="8">
        <v>3.0</v>
      </c>
      <c r="I18" s="19">
        <v>17.0</v>
      </c>
      <c r="M18" s="25"/>
      <c r="O18" s="25"/>
    </row>
    <row r="19" ht="22.5" customHeight="1">
      <c r="A19" s="16" t="str">
        <f>IFNA(VLOOKUP(B19,Sprites!$A$2:$B$1200,2,FALSE),"")</f>
        <v/>
      </c>
      <c r="B19" s="17" t="s">
        <v>278</v>
      </c>
      <c r="C19" s="8">
        <v>290.0</v>
      </c>
      <c r="D19" s="8" t="s">
        <v>90</v>
      </c>
      <c r="E19" s="18">
        <v>470.0</v>
      </c>
      <c r="F19" s="8">
        <v>5.0</v>
      </c>
      <c r="H19" s="8">
        <v>3.0</v>
      </c>
      <c r="I19" s="19">
        <v>18.0</v>
      </c>
      <c r="M19" s="25"/>
      <c r="O19" s="25"/>
    </row>
    <row r="20" ht="22.5" customHeight="1">
      <c r="A20" s="16" t="str">
        <f>IFNA(VLOOKUP(B20,Sprites!$A$2:$B$1200,2,FALSE),"")</f>
        <v/>
      </c>
      <c r="B20" s="17" t="s">
        <v>279</v>
      </c>
      <c r="C20" s="8">
        <v>309.0</v>
      </c>
      <c r="D20" s="8" t="s">
        <v>69</v>
      </c>
      <c r="E20" s="18">
        <v>474.0</v>
      </c>
      <c r="F20" s="8">
        <v>7.0</v>
      </c>
      <c r="G20" s="8" t="s">
        <v>27</v>
      </c>
      <c r="H20" s="8">
        <v>3.0</v>
      </c>
      <c r="I20" s="19">
        <v>19.0</v>
      </c>
      <c r="M20" s="25"/>
      <c r="O20" s="25"/>
    </row>
    <row r="21" ht="22.5" customHeight="1">
      <c r="A21" s="16" t="str">
        <f>IFNA(VLOOKUP(B21,Sprites!$A$2:$B$1200,2,FALSE),"")</f>
        <v/>
      </c>
      <c r="B21" s="17" t="s">
        <v>280</v>
      </c>
      <c r="C21" s="8">
        <v>320.0</v>
      </c>
      <c r="D21" s="8" t="s">
        <v>115</v>
      </c>
      <c r="E21" s="18">
        <v>485.0</v>
      </c>
      <c r="F21" s="8">
        <v>7.0</v>
      </c>
      <c r="G21" s="8" t="s">
        <v>38</v>
      </c>
      <c r="H21" s="8">
        <v>2.0</v>
      </c>
      <c r="I21" s="19">
        <v>20.0</v>
      </c>
      <c r="M21" s="25"/>
      <c r="O21" s="25"/>
    </row>
    <row r="22" ht="22.5" customHeight="1">
      <c r="A22" s="16" t="str">
        <f>IFNA(VLOOKUP(B22,Sprites!$A$2:$B$1200,2,FALSE),"")</f>
        <v/>
      </c>
      <c r="B22" s="17" t="s">
        <v>281</v>
      </c>
      <c r="C22" s="8">
        <v>303.0</v>
      </c>
      <c r="D22" s="8" t="s">
        <v>282</v>
      </c>
      <c r="E22" s="18">
        <v>483.0</v>
      </c>
      <c r="F22" s="8">
        <v>8.0</v>
      </c>
      <c r="G22" s="8" t="s">
        <v>38</v>
      </c>
      <c r="H22" s="8">
        <v>2.0</v>
      </c>
      <c r="I22" s="19">
        <v>21.0</v>
      </c>
      <c r="M22" s="25"/>
      <c r="O22" s="25"/>
    </row>
    <row r="23" ht="22.5" customHeight="1">
      <c r="A23" s="16" t="str">
        <f>IFNA(VLOOKUP(B23,Sprites!$A$2:$B$1200,2,FALSE),"")</f>
        <v/>
      </c>
      <c r="B23" s="17" t="s">
        <v>283</v>
      </c>
      <c r="C23" s="8">
        <v>295.0</v>
      </c>
      <c r="D23" s="8" t="s">
        <v>208</v>
      </c>
      <c r="E23" s="18">
        <v>455.0</v>
      </c>
      <c r="F23" s="8">
        <v>7.0</v>
      </c>
      <c r="H23" s="8">
        <v>2.0</v>
      </c>
      <c r="I23" s="19">
        <v>22.0</v>
      </c>
      <c r="M23" s="25"/>
      <c r="O23" s="25"/>
    </row>
    <row r="24" ht="22.5" customHeight="1">
      <c r="A24" s="16" t="str">
        <f>IFNA(VLOOKUP(B24,Sprites!$A$2:$B$1200,2,FALSE),"")</f>
        <v/>
      </c>
      <c r="B24" s="17" t="s">
        <v>284</v>
      </c>
      <c r="C24" s="8">
        <v>295.0</v>
      </c>
      <c r="D24" s="8" t="s">
        <v>208</v>
      </c>
      <c r="E24" s="18">
        <v>455.0</v>
      </c>
      <c r="F24" s="8">
        <v>7.0</v>
      </c>
      <c r="H24" s="8">
        <v>2.0</v>
      </c>
      <c r="I24" s="19">
        <v>23.0</v>
      </c>
      <c r="M24" s="25"/>
      <c r="O24" s="25"/>
    </row>
    <row r="25">
      <c r="A25" s="26" t="str">
        <f>IFNA(VLOOKUP(B25,Sprites!$A$2:$B$1200,2,FALSE),"")</f>
        <v/>
      </c>
      <c r="B25" s="14"/>
      <c r="E25" s="25"/>
      <c r="I25" s="14"/>
      <c r="M25" s="25"/>
      <c r="O25" s="25"/>
    </row>
    <row r="26">
      <c r="A26" s="26" t="str">
        <f>IFNA(VLOOKUP(B26,Sprites!$A$2:$B$1200,2,FALSE),"")</f>
        <v/>
      </c>
      <c r="B26" s="14"/>
      <c r="E26" s="25"/>
      <c r="I26" s="14"/>
      <c r="M26" s="25"/>
      <c r="O26" s="25"/>
    </row>
    <row r="27">
      <c r="A27" s="26" t="str">
        <f>IFNA(VLOOKUP(B27,Sprites!$A$2:$B$1200,2,FALSE),"")</f>
        <v/>
      </c>
      <c r="B27" s="14"/>
      <c r="E27" s="25"/>
      <c r="I27" s="14"/>
      <c r="M27" s="25"/>
      <c r="O27" s="25"/>
    </row>
    <row r="28">
      <c r="A28" s="26" t="str">
        <f>IFNA(VLOOKUP(B28,Sprites!$A$2:$B$1200,2,FALSE),"")</f>
        <v/>
      </c>
      <c r="B28" s="14"/>
      <c r="E28" s="25"/>
      <c r="I28" s="14"/>
      <c r="M28" s="25"/>
      <c r="O28" s="25"/>
    </row>
    <row r="29">
      <c r="A29" s="26" t="str">
        <f>IFNA(VLOOKUP(B29,Sprites!$A$2:$B$1200,2,FALSE),"")</f>
        <v/>
      </c>
      <c r="B29" s="14"/>
      <c r="E29" s="25"/>
      <c r="I29" s="14"/>
      <c r="M29" s="25"/>
      <c r="O29" s="25"/>
    </row>
    <row r="30">
      <c r="A30" s="26" t="str">
        <f>IFNA(VLOOKUP(B30,Sprites!$A$2:$B$1200,2,FALSE),"")</f>
        <v/>
      </c>
      <c r="B30" s="14"/>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3" max="3" width="8.63"/>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45.0</v>
      </c>
    </row>
    <row r="2" ht="22.5" customHeight="1">
      <c r="A2" s="16" t="str">
        <f>IFNA(VLOOKUP(B2,Sprites!$A$2:$B$1200,2,FALSE),"")</f>
        <v/>
      </c>
      <c r="B2" s="17" t="s">
        <v>285</v>
      </c>
      <c r="C2" s="8">
        <v>435.0</v>
      </c>
      <c r="D2" s="8" t="s">
        <v>120</v>
      </c>
      <c r="E2" s="18">
        <v>535.0</v>
      </c>
      <c r="F2" s="8">
        <v>7.0</v>
      </c>
      <c r="H2" s="8">
        <v>9.0</v>
      </c>
      <c r="I2" s="19">
        <v>1.0</v>
      </c>
      <c r="J2" s="14" t="s">
        <v>19</v>
      </c>
      <c r="K2" s="20">
        <f>SUM(C2:C1001)/K1</f>
        <v>298.1333333</v>
      </c>
    </row>
    <row r="3" ht="22.5" customHeight="1">
      <c r="A3" s="16" t="str">
        <f>IFNA(VLOOKUP(B3,Sprites!$A$2:$B$1200,2,FALSE),"")</f>
        <v/>
      </c>
      <c r="B3" s="17" t="s">
        <v>286</v>
      </c>
      <c r="C3" s="8">
        <v>350.0</v>
      </c>
      <c r="D3" s="8" t="s">
        <v>131</v>
      </c>
      <c r="E3" s="18">
        <v>531.0</v>
      </c>
      <c r="F3" s="8">
        <v>8.0</v>
      </c>
      <c r="H3" s="8">
        <v>8.0</v>
      </c>
      <c r="I3" s="19">
        <v>2.0</v>
      </c>
      <c r="J3" s="14" t="s">
        <v>20</v>
      </c>
      <c r="K3" s="20">
        <f>SUM(H2:H1001)/K1</f>
        <v>4.533333333</v>
      </c>
    </row>
    <row r="4" ht="22.5" customHeight="1">
      <c r="A4" s="16" t="str">
        <f>IFNA(VLOOKUP(B4,Sprites!$A$2:$B$1200,2,FALSE),"")</f>
        <v/>
      </c>
      <c r="B4" s="17" t="s">
        <v>287</v>
      </c>
      <c r="C4" s="8">
        <v>318.0</v>
      </c>
      <c r="D4" s="8" t="s">
        <v>219</v>
      </c>
      <c r="E4" s="18">
        <v>405.0</v>
      </c>
      <c r="F4" s="8">
        <v>4.0</v>
      </c>
      <c r="G4" s="8" t="s">
        <v>28</v>
      </c>
      <c r="H4" s="8">
        <v>8.0</v>
      </c>
      <c r="I4" s="19">
        <v>3.0</v>
      </c>
      <c r="J4" s="14" t="s">
        <v>56</v>
      </c>
      <c r="K4" s="21">
        <f>COUNTIF(D2:D1000, "Roguestone")</f>
        <v>10</v>
      </c>
    </row>
    <row r="5" ht="22.5" customHeight="1">
      <c r="A5" s="16" t="str">
        <f>IFNA(VLOOKUP(B5,Sprites!$A$2:$B$1200,2,FALSE),"")</f>
        <v/>
      </c>
      <c r="B5" s="17" t="s">
        <v>242</v>
      </c>
      <c r="C5" s="8">
        <v>320.0</v>
      </c>
      <c r="D5" s="8" t="s">
        <v>221</v>
      </c>
      <c r="E5" s="18">
        <v>420.0</v>
      </c>
      <c r="F5" s="8">
        <v>3.0</v>
      </c>
      <c r="G5" s="8" t="s">
        <v>32</v>
      </c>
      <c r="H5" s="8">
        <v>8.0</v>
      </c>
      <c r="I5" s="19">
        <v>4.0</v>
      </c>
      <c r="J5" s="14" t="s">
        <v>58</v>
      </c>
      <c r="K5" s="22">
        <f>K4/K1</f>
        <v>0.2222222222</v>
      </c>
    </row>
    <row r="6" ht="22.5" customHeight="1">
      <c r="A6" s="16" t="str">
        <f>IFNA(VLOOKUP(B6,Sprites!$A$2:$B$1200,2,FALSE),"")</f>
        <v/>
      </c>
      <c r="B6" s="17" t="s">
        <v>288</v>
      </c>
      <c r="C6" s="8">
        <v>310.0</v>
      </c>
      <c r="D6" s="8" t="s">
        <v>219</v>
      </c>
      <c r="E6" s="18">
        <v>410.0</v>
      </c>
      <c r="F6" s="8">
        <v>3.0</v>
      </c>
      <c r="H6" s="8">
        <v>8.0</v>
      </c>
      <c r="I6" s="19">
        <v>5.0</v>
      </c>
      <c r="L6" s="23"/>
      <c r="M6" s="24"/>
      <c r="N6" s="23"/>
      <c r="O6" s="24"/>
    </row>
    <row r="7" ht="22.5" customHeight="1">
      <c r="A7" s="16" t="str">
        <f>IFNA(VLOOKUP(B7,Sprites!$A$2:$B$1200,2,FALSE),"")</f>
        <v/>
      </c>
      <c r="B7" s="17" t="s">
        <v>289</v>
      </c>
      <c r="C7" s="8">
        <v>310.0</v>
      </c>
      <c r="D7" s="8" t="s">
        <v>219</v>
      </c>
      <c r="E7" s="18">
        <v>405.0</v>
      </c>
      <c r="F7" s="8">
        <v>3.0</v>
      </c>
      <c r="H7" s="8">
        <v>8.0</v>
      </c>
      <c r="I7" s="19">
        <v>6.0</v>
      </c>
      <c r="M7" s="25"/>
      <c r="O7" s="25"/>
    </row>
    <row r="8" ht="22.5" customHeight="1">
      <c r="A8" s="16" t="str">
        <f>IFNA(VLOOKUP(B8,Sprites!$A$2:$B$1200,2,FALSE),"")</f>
        <v/>
      </c>
      <c r="B8" s="17" t="s">
        <v>290</v>
      </c>
      <c r="C8" s="8">
        <v>308.0</v>
      </c>
      <c r="D8" s="8" t="s">
        <v>221</v>
      </c>
      <c r="E8" s="18">
        <v>413.0</v>
      </c>
      <c r="F8" s="8">
        <v>3.0</v>
      </c>
      <c r="H8" s="8">
        <v>8.0</v>
      </c>
      <c r="I8" s="19">
        <v>7.0</v>
      </c>
      <c r="M8" s="25"/>
      <c r="O8" s="25"/>
    </row>
    <row r="9" ht="22.5" customHeight="1">
      <c r="A9" s="16" t="str">
        <f>IFNA(VLOOKUP(B9,Sprites!$A$2:$B$1200,2,FALSE),"")</f>
        <v/>
      </c>
      <c r="B9" s="17" t="s">
        <v>291</v>
      </c>
      <c r="C9" s="8">
        <v>320.0</v>
      </c>
      <c r="D9" s="8" t="s">
        <v>61</v>
      </c>
      <c r="E9" s="18">
        <v>405.0</v>
      </c>
      <c r="F9" s="8">
        <v>3.0</v>
      </c>
      <c r="H9" s="8">
        <v>8.0</v>
      </c>
      <c r="I9" s="19">
        <v>8.0</v>
      </c>
      <c r="M9" s="25"/>
      <c r="O9" s="25"/>
    </row>
    <row r="10" ht="22.5" customHeight="1">
      <c r="A10" s="16" t="str">
        <f>IFNA(VLOOKUP(B10,Sprites!$A$2:$B$1200,2,FALSE),"")</f>
        <v/>
      </c>
      <c r="B10" s="17" t="s">
        <v>292</v>
      </c>
      <c r="C10" s="8">
        <v>318.0</v>
      </c>
      <c r="D10" s="8" t="s">
        <v>219</v>
      </c>
      <c r="E10" s="18">
        <v>405.0</v>
      </c>
      <c r="F10" s="8">
        <v>2.0</v>
      </c>
      <c r="H10" s="8">
        <v>8.0</v>
      </c>
      <c r="I10" s="19">
        <v>9.0</v>
      </c>
      <c r="M10" s="25"/>
      <c r="O10" s="25"/>
    </row>
    <row r="11" ht="22.5" customHeight="1">
      <c r="A11" s="16" t="str">
        <f>IFNA(VLOOKUP(B11,Sprites!$A$2:$B$1200,2,FALSE),"")</f>
        <v/>
      </c>
      <c r="B11" s="17" t="s">
        <v>293</v>
      </c>
      <c r="C11" s="8">
        <v>313.0</v>
      </c>
      <c r="D11" s="8" t="s">
        <v>219</v>
      </c>
      <c r="E11" s="18">
        <v>405.0</v>
      </c>
      <c r="F11" s="8">
        <v>2.0</v>
      </c>
      <c r="H11" s="8">
        <v>8.0</v>
      </c>
      <c r="I11" s="19">
        <v>10.0</v>
      </c>
      <c r="M11" s="25"/>
      <c r="O11" s="25"/>
    </row>
    <row r="12" ht="22.5" customHeight="1">
      <c r="A12" s="16" t="str">
        <f>IFNA(VLOOKUP(B12,Sprites!$A$2:$B$1200,2,FALSE),"")</f>
        <v/>
      </c>
      <c r="B12" s="17" t="s">
        <v>294</v>
      </c>
      <c r="C12" s="8">
        <v>310.0</v>
      </c>
      <c r="D12" s="8" t="s">
        <v>219</v>
      </c>
      <c r="E12" s="18">
        <v>420.0</v>
      </c>
      <c r="F12" s="8">
        <v>1.0</v>
      </c>
      <c r="H12" s="8">
        <v>8.0</v>
      </c>
      <c r="I12" s="19">
        <v>11.0</v>
      </c>
      <c r="M12" s="25"/>
      <c r="O12" s="25"/>
    </row>
    <row r="13" ht="22.5" customHeight="1">
      <c r="A13" s="16" t="str">
        <f>IFNA(VLOOKUP(B13,Sprites!$A$2:$B$1200,2,FALSE),"")</f>
        <v/>
      </c>
      <c r="B13" s="17" t="s">
        <v>295</v>
      </c>
      <c r="C13" s="8">
        <v>325.0</v>
      </c>
      <c r="D13" s="8" t="s">
        <v>69</v>
      </c>
      <c r="E13" s="18">
        <v>530.0</v>
      </c>
      <c r="F13" s="8">
        <v>6.0</v>
      </c>
      <c r="G13" s="8" t="s">
        <v>34</v>
      </c>
      <c r="H13" s="8">
        <v>7.0</v>
      </c>
      <c r="I13" s="19">
        <v>12.0</v>
      </c>
      <c r="M13" s="25"/>
      <c r="O13" s="25"/>
    </row>
    <row r="14" ht="22.5" customHeight="1">
      <c r="A14" s="16" t="str">
        <f>IFNA(VLOOKUP(B14,Sprites!$A$2:$B$1200,2,FALSE),"")</f>
        <v/>
      </c>
      <c r="B14" s="17" t="s">
        <v>268</v>
      </c>
      <c r="C14" s="8">
        <v>275.0</v>
      </c>
      <c r="D14" s="8" t="s">
        <v>67</v>
      </c>
      <c r="E14" s="18">
        <v>480.0</v>
      </c>
      <c r="F14" s="8">
        <v>2.0</v>
      </c>
      <c r="G14" s="8" t="s">
        <v>29</v>
      </c>
      <c r="H14" s="8">
        <v>6.0</v>
      </c>
      <c r="I14" s="19">
        <v>13.0</v>
      </c>
      <c r="M14" s="25"/>
      <c r="O14" s="25"/>
    </row>
    <row r="15" ht="22.5" customHeight="1">
      <c r="A15" s="16" t="str">
        <f>IFNA(VLOOKUP(B15,Sprites!$A$2:$B$1200,2,FALSE),"")</f>
        <v/>
      </c>
      <c r="B15" s="17" t="s">
        <v>296</v>
      </c>
      <c r="C15" s="8">
        <v>350.0</v>
      </c>
      <c r="D15" s="8" t="s">
        <v>75</v>
      </c>
      <c r="E15" s="18">
        <v>490.0</v>
      </c>
      <c r="F15" s="8">
        <v>7.0</v>
      </c>
      <c r="G15" s="8" t="s">
        <v>33</v>
      </c>
      <c r="H15" s="8">
        <v>6.0</v>
      </c>
      <c r="I15" s="19">
        <v>14.0</v>
      </c>
      <c r="M15" s="25"/>
      <c r="O15" s="25"/>
    </row>
    <row r="16" ht="22.5" customHeight="1">
      <c r="A16" s="16" t="str">
        <f>IFNA(VLOOKUP(B16,Sprites!$A$2:$B$1200,2,FALSE),"")</f>
        <v/>
      </c>
      <c r="B16" s="17" t="s">
        <v>297</v>
      </c>
      <c r="C16" s="8">
        <v>320.0</v>
      </c>
      <c r="D16" s="8" t="s">
        <v>94</v>
      </c>
      <c r="E16" s="18">
        <v>395.0</v>
      </c>
      <c r="F16" s="8">
        <v>5.0</v>
      </c>
      <c r="G16" s="8" t="s">
        <v>28</v>
      </c>
      <c r="H16" s="8">
        <v>6.0</v>
      </c>
      <c r="I16" s="19">
        <v>15.0</v>
      </c>
      <c r="M16" s="25"/>
      <c r="O16" s="25"/>
    </row>
    <row r="17" ht="22.5" customHeight="1">
      <c r="A17" s="16" t="str">
        <f>IFNA(VLOOKUP(B17,Sprites!$A$2:$B$1200,2,FALSE),"")</f>
        <v/>
      </c>
      <c r="B17" s="17" t="s">
        <v>298</v>
      </c>
      <c r="C17" s="8">
        <v>300.0</v>
      </c>
      <c r="D17" s="8" t="s">
        <v>94</v>
      </c>
      <c r="E17" s="18">
        <v>390.0</v>
      </c>
      <c r="F17" s="8">
        <v>4.0</v>
      </c>
      <c r="G17" s="8" t="s">
        <v>28</v>
      </c>
      <c r="H17" s="8">
        <v>6.0</v>
      </c>
      <c r="I17" s="19">
        <v>16.0</v>
      </c>
      <c r="M17" s="25"/>
      <c r="O17" s="25"/>
    </row>
    <row r="18" ht="22.5" customHeight="1">
      <c r="A18" s="16" t="str">
        <f>IFNA(VLOOKUP(B18,Sprites!$A$2:$B$1200,2,FALSE),"")</f>
        <v/>
      </c>
      <c r="B18" s="17" t="s">
        <v>299</v>
      </c>
      <c r="C18" s="8">
        <v>280.0</v>
      </c>
      <c r="D18" s="8" t="s">
        <v>67</v>
      </c>
      <c r="E18" s="18">
        <v>420.0</v>
      </c>
      <c r="F18" s="8">
        <v>0.0</v>
      </c>
      <c r="G18" s="8" t="s">
        <v>28</v>
      </c>
      <c r="H18" s="8">
        <v>5.0</v>
      </c>
      <c r="I18" s="19">
        <v>17.0</v>
      </c>
      <c r="M18" s="25"/>
      <c r="O18" s="25"/>
    </row>
    <row r="19" ht="22.5" customHeight="1">
      <c r="A19" s="16" t="str">
        <f>IFNA(VLOOKUP(B19,Sprites!$A$2:$B$1200,2,FALSE),"")</f>
        <v/>
      </c>
      <c r="B19" s="17" t="s">
        <v>300</v>
      </c>
      <c r="C19" s="8">
        <v>316.0</v>
      </c>
      <c r="D19" s="8" t="s">
        <v>69</v>
      </c>
      <c r="E19" s="18">
        <v>498.0</v>
      </c>
      <c r="F19" s="8">
        <v>9.0</v>
      </c>
      <c r="H19" s="8">
        <v>5.0</v>
      </c>
      <c r="I19" s="19">
        <v>18.0</v>
      </c>
      <c r="M19" s="25"/>
      <c r="O19" s="25"/>
    </row>
    <row r="20" ht="22.5" customHeight="1">
      <c r="A20" s="16" t="str">
        <f>IFNA(VLOOKUP(B20,Sprites!$A$2:$B$1200,2,FALSE),"")</f>
        <v/>
      </c>
      <c r="B20" s="17" t="s">
        <v>301</v>
      </c>
      <c r="C20" s="8">
        <v>355.0</v>
      </c>
      <c r="D20" s="8" t="s">
        <v>51</v>
      </c>
      <c r="E20" s="18">
        <v>495.0</v>
      </c>
      <c r="F20" s="8">
        <v>7.0</v>
      </c>
      <c r="G20" s="8" t="s">
        <v>24</v>
      </c>
      <c r="H20" s="8">
        <v>5.0</v>
      </c>
      <c r="I20" s="19">
        <v>19.0</v>
      </c>
      <c r="M20" s="25"/>
      <c r="O20" s="25"/>
    </row>
    <row r="21" ht="22.5" customHeight="1">
      <c r="A21" s="16" t="str">
        <f>IFNA(VLOOKUP(B21,Sprites!$A$2:$B$1200,2,FALSE),"")</f>
        <v/>
      </c>
      <c r="B21" s="17" t="s">
        <v>302</v>
      </c>
      <c r="C21" s="8">
        <v>334.0</v>
      </c>
      <c r="D21" s="8" t="s">
        <v>55</v>
      </c>
      <c r="E21" s="18">
        <v>494.0</v>
      </c>
      <c r="F21" s="8">
        <v>4.0</v>
      </c>
      <c r="G21" s="8" t="s">
        <v>35</v>
      </c>
      <c r="H21" s="8">
        <v>4.0</v>
      </c>
      <c r="I21" s="19">
        <v>20.0</v>
      </c>
      <c r="M21" s="25"/>
      <c r="O21" s="25"/>
    </row>
    <row r="22" ht="22.5" customHeight="1">
      <c r="A22" s="16" t="str">
        <f>IFNA(VLOOKUP(B22,Sprites!$A$2:$B$1200,2,FALSE),"")</f>
        <v/>
      </c>
      <c r="B22" s="17" t="s">
        <v>272</v>
      </c>
      <c r="C22" s="8">
        <v>335.0</v>
      </c>
      <c r="D22" s="8" t="s">
        <v>69</v>
      </c>
      <c r="E22" s="18">
        <v>494.0</v>
      </c>
      <c r="F22" s="8">
        <v>9.0</v>
      </c>
      <c r="G22" s="8" t="s">
        <v>29</v>
      </c>
      <c r="H22" s="8">
        <v>4.0</v>
      </c>
      <c r="I22" s="19">
        <v>21.0</v>
      </c>
      <c r="M22" s="25"/>
      <c r="O22" s="25"/>
    </row>
    <row r="23" ht="22.5" customHeight="1">
      <c r="A23" s="16" t="str">
        <f>IFNA(VLOOKUP(B23,Sprites!$A$2:$B$1200,2,FALSE),"")</f>
        <v/>
      </c>
      <c r="B23" s="17" t="s">
        <v>169</v>
      </c>
      <c r="C23" s="8">
        <v>330.0</v>
      </c>
      <c r="D23" s="8" t="s">
        <v>69</v>
      </c>
      <c r="E23" s="18">
        <v>485.0</v>
      </c>
      <c r="F23" s="8">
        <v>10.0</v>
      </c>
      <c r="G23" s="8" t="s">
        <v>31</v>
      </c>
      <c r="H23" s="8">
        <v>4.0</v>
      </c>
      <c r="I23" s="19">
        <v>22.0</v>
      </c>
      <c r="M23" s="25"/>
      <c r="O23" s="25"/>
    </row>
    <row r="24" ht="22.5" customHeight="1">
      <c r="A24" s="16" t="str">
        <f>IFNA(VLOOKUP(B24,Sprites!$A$2:$B$1200,2,FALSE),"")</f>
        <v/>
      </c>
      <c r="B24" s="17" t="s">
        <v>303</v>
      </c>
      <c r="C24" s="8">
        <v>335.0</v>
      </c>
      <c r="D24" s="8" t="s">
        <v>131</v>
      </c>
      <c r="E24" s="18">
        <v>475.0</v>
      </c>
      <c r="F24" s="8">
        <v>7.0</v>
      </c>
      <c r="H24" s="8">
        <v>4.0</v>
      </c>
      <c r="I24" s="19">
        <v>23.0</v>
      </c>
      <c r="M24" s="25"/>
      <c r="O24" s="25"/>
    </row>
    <row r="25" ht="22.5" customHeight="1">
      <c r="A25" s="16" t="str">
        <f>IFNA(VLOOKUP(B25,Sprites!$A$2:$B$1200,2,FALSE),"")</f>
        <v/>
      </c>
      <c r="B25" s="17" t="s">
        <v>304</v>
      </c>
      <c r="C25" s="8">
        <v>304.0</v>
      </c>
      <c r="D25" s="8" t="s">
        <v>69</v>
      </c>
      <c r="E25" s="18">
        <v>486.0</v>
      </c>
      <c r="F25" s="8">
        <v>6.0</v>
      </c>
      <c r="H25" s="8">
        <v>4.0</v>
      </c>
      <c r="I25" s="19">
        <v>24.0</v>
      </c>
      <c r="M25" s="25"/>
      <c r="O25" s="25"/>
    </row>
    <row r="26" ht="22.5" customHeight="1">
      <c r="A26" s="16" t="str">
        <f>IFNA(VLOOKUP(B26,Sprites!$A$2:$B$1200,2,FALSE),"")</f>
        <v/>
      </c>
      <c r="B26" s="17" t="s">
        <v>305</v>
      </c>
      <c r="C26" s="8">
        <v>335.0</v>
      </c>
      <c r="D26" s="8" t="s">
        <v>90</v>
      </c>
      <c r="E26" s="18">
        <v>485.0</v>
      </c>
      <c r="F26" s="8">
        <v>6.0</v>
      </c>
      <c r="G26" s="8" t="s">
        <v>38</v>
      </c>
      <c r="H26" s="8">
        <v>3.0</v>
      </c>
      <c r="I26" s="19">
        <v>25.0</v>
      </c>
      <c r="M26" s="25"/>
      <c r="O26" s="25"/>
    </row>
    <row r="27" ht="22.5" customHeight="1">
      <c r="A27" s="16" t="str">
        <f>IFNA(VLOOKUP(B27,Sprites!$A$2:$B$1200,2,FALSE),"")</f>
        <v/>
      </c>
      <c r="B27" s="17" t="s">
        <v>253</v>
      </c>
      <c r="C27" s="8">
        <v>250.0</v>
      </c>
      <c r="D27" s="8" t="s">
        <v>61</v>
      </c>
      <c r="E27" s="18">
        <v>340.0</v>
      </c>
      <c r="F27" s="8">
        <v>5.0</v>
      </c>
      <c r="G27" s="8" t="s">
        <v>32</v>
      </c>
      <c r="H27" s="8">
        <v>3.0</v>
      </c>
      <c r="I27" s="19">
        <v>26.0</v>
      </c>
      <c r="M27" s="25"/>
      <c r="O27" s="25"/>
    </row>
    <row r="28" ht="22.5" customHeight="1">
      <c r="A28" s="16" t="str">
        <f>IFNA(VLOOKUP(B28,Sprites!$A$2:$B$1200,2,FALSE),"")</f>
        <v/>
      </c>
      <c r="B28" s="17" t="s">
        <v>275</v>
      </c>
      <c r="C28" s="8">
        <v>308.0</v>
      </c>
      <c r="D28" s="8" t="s">
        <v>69</v>
      </c>
      <c r="E28" s="18">
        <v>508.0</v>
      </c>
      <c r="F28" s="8">
        <v>5.0</v>
      </c>
      <c r="G28" s="8" t="s">
        <v>29</v>
      </c>
      <c r="H28" s="8">
        <v>3.0</v>
      </c>
      <c r="I28" s="19">
        <v>27.0</v>
      </c>
      <c r="M28" s="25"/>
      <c r="O28" s="25"/>
    </row>
    <row r="29" ht="22.5" customHeight="1">
      <c r="A29" s="16" t="str">
        <f>IFNA(VLOOKUP(B29,Sprites!$A$2:$B$1200,2,FALSE),"")</f>
        <v/>
      </c>
      <c r="B29" s="17" t="s">
        <v>190</v>
      </c>
      <c r="C29" s="8">
        <v>285.0</v>
      </c>
      <c r="D29" s="8" t="s">
        <v>87</v>
      </c>
      <c r="E29" s="18">
        <v>405.0</v>
      </c>
      <c r="F29" s="8">
        <v>3.0</v>
      </c>
      <c r="G29" s="8" t="s">
        <v>37</v>
      </c>
      <c r="H29" s="8">
        <v>3.0</v>
      </c>
      <c r="I29" s="19">
        <v>28.0</v>
      </c>
      <c r="M29" s="25"/>
      <c r="O29" s="25"/>
    </row>
    <row r="30" ht="22.5" customHeight="1">
      <c r="A30" s="16" t="str">
        <f>IFNA(VLOOKUP(B30,Sprites!$A$2:$B$1200,2,FALSE),"")</f>
        <v/>
      </c>
      <c r="B30" s="17" t="s">
        <v>279</v>
      </c>
      <c r="C30" s="8">
        <v>309.0</v>
      </c>
      <c r="D30" s="8" t="s">
        <v>69</v>
      </c>
      <c r="E30" s="18">
        <v>474.0</v>
      </c>
      <c r="F30" s="8">
        <v>7.0</v>
      </c>
      <c r="G30" s="8" t="s">
        <v>29</v>
      </c>
      <c r="H30" s="8">
        <v>3.0</v>
      </c>
      <c r="I30" s="19">
        <v>29.0</v>
      </c>
      <c r="M30" s="25"/>
      <c r="O30" s="25"/>
    </row>
    <row r="31" ht="22.5" customHeight="1">
      <c r="A31" s="16" t="str">
        <f>IFNA(VLOOKUP(B31,Sprites!$A$2:$B$1200,2,FALSE),"")</f>
        <v/>
      </c>
      <c r="B31" s="17" t="s">
        <v>306</v>
      </c>
      <c r="C31" s="8">
        <v>280.0</v>
      </c>
      <c r="D31" s="8" t="s">
        <v>69</v>
      </c>
      <c r="E31" s="18">
        <v>480.0</v>
      </c>
      <c r="F31" s="8">
        <v>8.0</v>
      </c>
      <c r="H31" s="8">
        <v>3.0</v>
      </c>
      <c r="I31" s="19">
        <v>30.0</v>
      </c>
      <c r="M31" s="25"/>
      <c r="O31" s="25"/>
    </row>
    <row r="32" ht="22.5" customHeight="1">
      <c r="A32" s="16" t="str">
        <f>IFNA(VLOOKUP(B32,Sprites!$A$2:$B$1200,2,FALSE),"")</f>
        <v/>
      </c>
      <c r="B32" s="17" t="s">
        <v>191</v>
      </c>
      <c r="C32" s="8">
        <v>280.0</v>
      </c>
      <c r="D32" s="8" t="s">
        <v>69</v>
      </c>
      <c r="E32" s="18">
        <v>480.0</v>
      </c>
      <c r="F32" s="8">
        <v>9.0</v>
      </c>
      <c r="G32" s="8" t="s">
        <v>37</v>
      </c>
      <c r="H32" s="8">
        <v>3.0</v>
      </c>
      <c r="I32" s="19">
        <v>31.0</v>
      </c>
      <c r="M32" s="25"/>
      <c r="O32" s="25"/>
    </row>
    <row r="33" ht="22.5" customHeight="1">
      <c r="A33" s="16" t="str">
        <f>IFNA(VLOOKUP(B33,Sprites!$A$2:$B$1200,2,FALSE),"")</f>
        <v/>
      </c>
      <c r="B33" s="17" t="s">
        <v>88</v>
      </c>
      <c r="C33" s="8">
        <v>310.0</v>
      </c>
      <c r="D33" s="8" t="s">
        <v>65</v>
      </c>
      <c r="E33" s="18">
        <v>380.0</v>
      </c>
      <c r="F33" s="8">
        <v>1.0</v>
      </c>
      <c r="G33" s="8" t="s">
        <v>39</v>
      </c>
      <c r="H33" s="8">
        <v>2.0</v>
      </c>
      <c r="I33" s="19">
        <v>32.0</v>
      </c>
      <c r="M33" s="25"/>
      <c r="O33" s="25"/>
    </row>
    <row r="34" ht="22.5" customHeight="1">
      <c r="A34" s="16" t="str">
        <f>IFNA(VLOOKUP(B34,Sprites!$A$2:$B$1200,2,FALSE),"")</f>
        <v/>
      </c>
      <c r="B34" s="17" t="s">
        <v>307</v>
      </c>
      <c r="C34" s="8">
        <v>305.0</v>
      </c>
      <c r="D34" s="8" t="s">
        <v>51</v>
      </c>
      <c r="E34" s="18">
        <v>489.0</v>
      </c>
      <c r="F34" s="8">
        <v>5.0</v>
      </c>
      <c r="G34" s="8" t="s">
        <v>36</v>
      </c>
      <c r="H34" s="8">
        <v>2.0</v>
      </c>
      <c r="I34" s="19">
        <v>33.0</v>
      </c>
      <c r="M34" s="25"/>
      <c r="O34" s="25"/>
    </row>
    <row r="35" ht="22.5" customHeight="1">
      <c r="A35" s="16" t="str">
        <f>IFNA(VLOOKUP(B35,Sprites!$A$2:$B$1200,2,FALSE),"")</f>
        <v/>
      </c>
      <c r="B35" s="17" t="s">
        <v>308</v>
      </c>
      <c r="C35" s="8">
        <v>210.0</v>
      </c>
      <c r="D35" s="8" t="s">
        <v>61</v>
      </c>
      <c r="E35" s="18">
        <v>350.0</v>
      </c>
      <c r="F35" s="8">
        <v>2.0</v>
      </c>
      <c r="H35" s="8">
        <v>2.0</v>
      </c>
      <c r="I35" s="19">
        <v>34.0</v>
      </c>
      <c r="M35" s="25"/>
      <c r="O35" s="25"/>
    </row>
    <row r="36" ht="22.5" customHeight="1">
      <c r="A36" s="16" t="str">
        <f>IFNA(VLOOKUP(B36,Sprites!$A$2:$B$1200,2,FALSE),"")</f>
        <v/>
      </c>
      <c r="B36" s="17" t="s">
        <v>151</v>
      </c>
      <c r="C36" s="8">
        <v>260.0</v>
      </c>
      <c r="D36" s="8" t="s">
        <v>69</v>
      </c>
      <c r="E36" s="18">
        <v>485.0</v>
      </c>
      <c r="F36" s="8">
        <v>0.0</v>
      </c>
      <c r="G36" s="8" t="s">
        <v>23</v>
      </c>
      <c r="H36" s="8">
        <v>2.0</v>
      </c>
      <c r="I36" s="19">
        <v>35.0</v>
      </c>
      <c r="M36" s="25"/>
      <c r="O36" s="25"/>
    </row>
    <row r="37" ht="22.5" customHeight="1">
      <c r="A37" s="16" t="str">
        <f>IFNA(VLOOKUP(B37,Sprites!$A$2:$B$1200,2,FALSE),"")</f>
        <v/>
      </c>
      <c r="B37" s="17" t="s">
        <v>309</v>
      </c>
      <c r="C37" s="8">
        <v>250.0</v>
      </c>
      <c r="D37" s="8" t="s">
        <v>75</v>
      </c>
      <c r="E37" s="18">
        <v>480.0</v>
      </c>
      <c r="F37" s="8">
        <v>5.0</v>
      </c>
      <c r="H37" s="8">
        <v>2.0</v>
      </c>
      <c r="I37" s="19">
        <v>36.0</v>
      </c>
      <c r="M37" s="25"/>
      <c r="O37" s="25"/>
    </row>
    <row r="38" ht="22.5" customHeight="1">
      <c r="A38" s="16" t="str">
        <f>IFNA(VLOOKUP(B38,Sprites!$A$2:$B$1200,2,FALSE),"")</f>
        <v/>
      </c>
      <c r="B38" s="17" t="s">
        <v>310</v>
      </c>
      <c r="C38" s="8">
        <v>220.0</v>
      </c>
      <c r="D38" s="8" t="s">
        <v>217</v>
      </c>
      <c r="E38" s="18">
        <v>340.0</v>
      </c>
      <c r="F38" s="8">
        <v>2.0</v>
      </c>
      <c r="G38" s="8" t="s">
        <v>26</v>
      </c>
      <c r="H38" s="8">
        <v>2.0</v>
      </c>
      <c r="I38" s="19">
        <v>37.0</v>
      </c>
      <c r="M38" s="25"/>
      <c r="O38" s="25"/>
    </row>
    <row r="39" ht="22.5" customHeight="1">
      <c r="A39" s="16" t="str">
        <f>IFNA(VLOOKUP(B39,Sprites!$A$2:$B$1200,2,FALSE),"")</f>
        <v/>
      </c>
      <c r="B39" s="17" t="s">
        <v>311</v>
      </c>
      <c r="C39" s="8">
        <v>220.0</v>
      </c>
      <c r="D39" s="8" t="s">
        <v>217</v>
      </c>
      <c r="E39" s="18">
        <v>380.0</v>
      </c>
      <c r="F39" s="8">
        <v>2.0</v>
      </c>
      <c r="H39" s="8">
        <v>2.0</v>
      </c>
      <c r="I39" s="19">
        <v>38.0</v>
      </c>
      <c r="M39" s="25"/>
      <c r="O39" s="25"/>
    </row>
    <row r="40" ht="22.5" customHeight="1">
      <c r="A40" s="16" t="str">
        <f>IFNA(VLOOKUP(B40,Sprites!$A$2:$B$1200,2,FALSE),"")</f>
        <v/>
      </c>
      <c r="B40" s="17" t="s">
        <v>312</v>
      </c>
      <c r="C40" s="8">
        <v>180.0</v>
      </c>
      <c r="D40" s="8" t="s">
        <v>61</v>
      </c>
      <c r="E40" s="18">
        <v>425.0</v>
      </c>
      <c r="F40" s="8">
        <v>2.0</v>
      </c>
      <c r="H40" s="8">
        <v>2.0</v>
      </c>
      <c r="I40" s="19">
        <v>39.0</v>
      </c>
      <c r="M40" s="25"/>
      <c r="O40" s="25"/>
    </row>
    <row r="41" ht="22.5" customHeight="1">
      <c r="A41" s="16" t="str">
        <f>IFNA(VLOOKUP(B41,Sprites!$A$2:$B$1200,2,FALSE),"")</f>
        <v/>
      </c>
      <c r="B41" s="17" t="s">
        <v>313</v>
      </c>
      <c r="C41" s="8">
        <v>294.0</v>
      </c>
      <c r="D41" s="8" t="s">
        <v>133</v>
      </c>
      <c r="E41" s="18">
        <v>464.0</v>
      </c>
      <c r="F41" s="8">
        <v>7.0</v>
      </c>
      <c r="G41" s="8" t="s">
        <v>28</v>
      </c>
      <c r="H41" s="8">
        <v>2.0</v>
      </c>
      <c r="I41" s="19">
        <v>40.0</v>
      </c>
      <c r="M41" s="25"/>
      <c r="O41" s="25"/>
    </row>
    <row r="42" ht="22.5" customHeight="1">
      <c r="A42" s="16" t="str">
        <f>IFNA(VLOOKUP(B42,Sprites!$A$2:$B$1200,2,FALSE),"")</f>
        <v/>
      </c>
      <c r="B42" s="17" t="s">
        <v>86</v>
      </c>
      <c r="C42" s="8">
        <v>285.0</v>
      </c>
      <c r="D42" s="8" t="s">
        <v>87</v>
      </c>
      <c r="E42" s="18">
        <v>405.0</v>
      </c>
      <c r="F42" s="8">
        <v>3.0</v>
      </c>
      <c r="G42" s="8" t="s">
        <v>39</v>
      </c>
      <c r="H42" s="8">
        <v>2.0</v>
      </c>
      <c r="I42" s="19">
        <v>41.0</v>
      </c>
      <c r="M42" s="25"/>
      <c r="O42" s="25"/>
    </row>
    <row r="43" ht="22.5" customHeight="1">
      <c r="A43" s="16" t="str">
        <f>IFNA(VLOOKUP(B43,Sprites!$A$2:$B$1200,2,FALSE),"")</f>
        <v/>
      </c>
      <c r="B43" s="17" t="s">
        <v>314</v>
      </c>
      <c r="C43" s="8">
        <v>244.0</v>
      </c>
      <c r="D43" s="8" t="s">
        <v>77</v>
      </c>
      <c r="E43" s="18">
        <v>354.0</v>
      </c>
      <c r="F43" s="8">
        <v>5.0</v>
      </c>
      <c r="G43" s="8" t="s">
        <v>33</v>
      </c>
      <c r="H43" s="8">
        <v>2.0</v>
      </c>
      <c r="I43" s="19">
        <v>42.0</v>
      </c>
      <c r="M43" s="25"/>
      <c r="O43" s="25"/>
    </row>
    <row r="44" ht="22.5" customHeight="1">
      <c r="A44" s="16" t="str">
        <f>IFNA(VLOOKUP(B44,Sprites!$A$2:$B$1200,2,FALSE),"")</f>
        <v/>
      </c>
      <c r="B44" s="17" t="s">
        <v>315</v>
      </c>
      <c r="C44" s="8">
        <v>250.0</v>
      </c>
      <c r="D44" s="8" t="s">
        <v>65</v>
      </c>
      <c r="E44" s="18">
        <v>460.0</v>
      </c>
      <c r="F44" s="8">
        <v>2.0</v>
      </c>
      <c r="H44" s="8">
        <v>2.0</v>
      </c>
      <c r="I44" s="19">
        <v>43.0</v>
      </c>
      <c r="M44" s="25"/>
      <c r="O44" s="25"/>
    </row>
    <row r="45" ht="22.5" customHeight="1">
      <c r="A45" s="16" t="str">
        <f>IFNA(VLOOKUP(B45,Sprites!$A$2:$B$1200,2,FALSE),"")</f>
        <v/>
      </c>
      <c r="B45" s="17" t="s">
        <v>316</v>
      </c>
      <c r="C45" s="8">
        <v>275.0</v>
      </c>
      <c r="D45" s="8" t="s">
        <v>77</v>
      </c>
      <c r="E45" s="18">
        <v>450.0</v>
      </c>
      <c r="F45" s="8">
        <v>3.0</v>
      </c>
      <c r="H45" s="8">
        <v>2.0</v>
      </c>
      <c r="I45" s="19">
        <v>44.0</v>
      </c>
      <c r="M45" s="25"/>
      <c r="O45" s="25"/>
    </row>
    <row r="46" ht="22.5" customHeight="1">
      <c r="A46" s="16" t="str">
        <f>IFNA(VLOOKUP(B46,Sprites!$A$2:$B$1200,2,FALSE),"")</f>
        <v/>
      </c>
      <c r="B46" s="17" t="s">
        <v>317</v>
      </c>
      <c r="C46" s="8">
        <v>295.0</v>
      </c>
      <c r="D46" s="8" t="s">
        <v>189</v>
      </c>
      <c r="E46" s="18">
        <v>460.0</v>
      </c>
      <c r="F46" s="8">
        <v>3.0</v>
      </c>
      <c r="H46" s="8">
        <v>2.0</v>
      </c>
      <c r="I46" s="19">
        <v>45.0</v>
      </c>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28.0</v>
      </c>
    </row>
    <row r="2" ht="22.5" customHeight="1">
      <c r="A2" s="16" t="str">
        <f>IFNA(VLOOKUP(B2,Sprites!$A$2:$B$1200,2,FALSE),"")</f>
        <v/>
      </c>
      <c r="B2" s="17" t="s">
        <v>241</v>
      </c>
      <c r="C2" s="8">
        <v>430.0</v>
      </c>
      <c r="D2" s="8" t="s">
        <v>69</v>
      </c>
      <c r="E2" s="18">
        <v>510.0</v>
      </c>
      <c r="F2" s="8">
        <v>10.0</v>
      </c>
      <c r="G2" s="8" t="s">
        <v>32</v>
      </c>
      <c r="H2" s="8">
        <v>8.0</v>
      </c>
      <c r="I2" s="19">
        <v>1.0</v>
      </c>
      <c r="J2" s="14" t="s">
        <v>19</v>
      </c>
      <c r="K2" s="20">
        <f>SUM(C2:C1000)/K1</f>
        <v>305</v>
      </c>
    </row>
    <row r="3" ht="22.5" customHeight="1">
      <c r="A3" s="16" t="str">
        <f>IFNA(VLOOKUP(B3,Sprites!$A$2:$B$1200,2,FALSE),"")</f>
        <v/>
      </c>
      <c r="B3" s="17" t="s">
        <v>144</v>
      </c>
      <c r="C3" s="8">
        <v>300.0</v>
      </c>
      <c r="D3" s="8" t="s">
        <v>87</v>
      </c>
      <c r="E3" s="18">
        <v>410.0</v>
      </c>
      <c r="F3" s="8">
        <v>2.0</v>
      </c>
      <c r="G3" s="8" t="s">
        <v>23</v>
      </c>
      <c r="H3" s="8">
        <v>7.0</v>
      </c>
      <c r="I3" s="19">
        <v>2.0</v>
      </c>
      <c r="J3" s="14" t="s">
        <v>20</v>
      </c>
      <c r="K3" s="20">
        <f>SUM(H2:H1000)/K1</f>
        <v>3.535714286</v>
      </c>
    </row>
    <row r="4" ht="22.5" customHeight="1">
      <c r="A4" s="16" t="str">
        <f>IFNA(VLOOKUP(B4,Sprites!$A$2:$B$1200,2,FALSE),"")</f>
        <v/>
      </c>
      <c r="B4" s="17" t="s">
        <v>318</v>
      </c>
      <c r="C4" s="8">
        <v>385.0</v>
      </c>
      <c r="D4" s="8" t="s">
        <v>90</v>
      </c>
      <c r="E4" s="18">
        <v>500.0</v>
      </c>
      <c r="F4" s="8">
        <v>5.0</v>
      </c>
      <c r="H4" s="8">
        <v>7.0</v>
      </c>
      <c r="I4" s="19">
        <v>3.0</v>
      </c>
      <c r="J4" s="14" t="s">
        <v>56</v>
      </c>
      <c r="K4" s="21">
        <f>COUNTIF(D2:D1000, "Roguestone")</f>
        <v>2</v>
      </c>
    </row>
    <row r="5" ht="22.5" customHeight="1">
      <c r="A5" s="16" t="str">
        <f>IFNA(VLOOKUP(B5,Sprites!$A$2:$B$1200,2,FALSE),"")</f>
        <v/>
      </c>
      <c r="B5" s="17" t="s">
        <v>319</v>
      </c>
      <c r="C5" s="8">
        <v>300.0</v>
      </c>
      <c r="D5" s="8" t="s">
        <v>75</v>
      </c>
      <c r="E5" s="18">
        <v>525.0</v>
      </c>
      <c r="F5" s="8">
        <v>6.0</v>
      </c>
      <c r="H5" s="8">
        <v>6.0</v>
      </c>
      <c r="I5" s="19">
        <v>4.0</v>
      </c>
      <c r="J5" s="14" t="s">
        <v>58</v>
      </c>
      <c r="K5" s="22">
        <f>K4/K1</f>
        <v>0.07142857143</v>
      </c>
    </row>
    <row r="6" ht="22.5" customHeight="1">
      <c r="A6" s="16" t="str">
        <f>IFNA(VLOOKUP(B6,Sprites!$A$2:$B$1200,2,FALSE),"")</f>
        <v/>
      </c>
      <c r="B6" s="17" t="s">
        <v>320</v>
      </c>
      <c r="C6" s="8">
        <v>315.0</v>
      </c>
      <c r="D6" s="8" t="s">
        <v>82</v>
      </c>
      <c r="E6" s="18">
        <v>510.0</v>
      </c>
      <c r="F6" s="8">
        <v>6.0</v>
      </c>
      <c r="H6" s="8">
        <v>6.0</v>
      </c>
      <c r="I6" s="19">
        <v>5.0</v>
      </c>
      <c r="L6" s="23"/>
      <c r="M6" s="24"/>
      <c r="N6" s="23"/>
      <c r="O6" s="24"/>
    </row>
    <row r="7" ht="22.5" customHeight="1">
      <c r="A7" s="16" t="str">
        <f>IFNA(VLOOKUP(B7,Sprites!$A$2:$B$1200,2,FALSE),"")</f>
        <v/>
      </c>
      <c r="B7" s="17" t="s">
        <v>321</v>
      </c>
      <c r="C7" s="8">
        <v>330.0</v>
      </c>
      <c r="D7" s="8" t="s">
        <v>77</v>
      </c>
      <c r="E7" s="18">
        <v>500.0</v>
      </c>
      <c r="F7" s="8">
        <v>4.0</v>
      </c>
      <c r="H7" s="8">
        <v>5.0</v>
      </c>
      <c r="I7" s="19">
        <v>6.0</v>
      </c>
      <c r="M7" s="25"/>
      <c r="O7" s="25"/>
    </row>
    <row r="8" ht="22.5" customHeight="1">
      <c r="A8" s="16" t="str">
        <f>IFNA(VLOOKUP(B8,Sprites!$A$2:$B$1200,2,FALSE),"")</f>
        <v/>
      </c>
      <c r="B8" s="17" t="s">
        <v>322</v>
      </c>
      <c r="C8" s="8">
        <v>328.0</v>
      </c>
      <c r="D8" s="8" t="s">
        <v>80</v>
      </c>
      <c r="E8" s="18">
        <v>508.0</v>
      </c>
      <c r="F8" s="8">
        <v>5.0</v>
      </c>
      <c r="H8" s="8">
        <v>5.0</v>
      </c>
      <c r="I8" s="19">
        <v>7.0</v>
      </c>
      <c r="M8" s="25"/>
      <c r="O8" s="25"/>
    </row>
    <row r="9" ht="22.5" customHeight="1">
      <c r="A9" s="16" t="str">
        <f>IFNA(VLOOKUP(B9,Sprites!$A$2:$B$1200,2,FALSE),"")</f>
        <v/>
      </c>
      <c r="B9" s="17" t="s">
        <v>323</v>
      </c>
      <c r="C9" s="8">
        <v>320.0</v>
      </c>
      <c r="D9" s="8" t="s">
        <v>55</v>
      </c>
      <c r="E9" s="18">
        <v>425.0</v>
      </c>
      <c r="F9" s="8">
        <v>4.0</v>
      </c>
      <c r="H9" s="8">
        <v>5.0</v>
      </c>
      <c r="I9" s="19">
        <v>8.0</v>
      </c>
      <c r="M9" s="25"/>
      <c r="O9" s="25"/>
    </row>
    <row r="10" ht="22.5" customHeight="1">
      <c r="A10" s="16" t="str">
        <f>IFNA(VLOOKUP(B10,Sprites!$A$2:$B$1200,2,FALSE),"")</f>
        <v/>
      </c>
      <c r="B10" s="17" t="s">
        <v>324</v>
      </c>
      <c r="C10" s="8">
        <v>300.0</v>
      </c>
      <c r="D10" s="8" t="s">
        <v>82</v>
      </c>
      <c r="E10" s="18">
        <v>500.0</v>
      </c>
      <c r="F10" s="8">
        <v>11.0</v>
      </c>
      <c r="G10" s="8" t="s">
        <v>34</v>
      </c>
      <c r="H10" s="8">
        <v>5.0</v>
      </c>
      <c r="I10" s="19">
        <v>9.0</v>
      </c>
      <c r="M10" s="25"/>
      <c r="O10" s="25"/>
    </row>
    <row r="11" ht="22.5" customHeight="1">
      <c r="A11" s="16" t="str">
        <f>IFNA(VLOOKUP(B11,Sprites!$A$2:$B$1200,2,FALSE),"")</f>
        <v/>
      </c>
      <c r="B11" s="17" t="s">
        <v>277</v>
      </c>
      <c r="C11" s="8">
        <v>303.0</v>
      </c>
      <c r="D11" s="8" t="s">
        <v>75</v>
      </c>
      <c r="E11" s="18">
        <v>483.0</v>
      </c>
      <c r="F11" s="8">
        <v>6.0</v>
      </c>
      <c r="G11" s="8" t="s">
        <v>29</v>
      </c>
      <c r="H11" s="8">
        <v>4.0</v>
      </c>
      <c r="I11" s="19">
        <v>10.0</v>
      </c>
      <c r="M11" s="25"/>
      <c r="O11" s="25"/>
    </row>
    <row r="12" ht="22.5" customHeight="1">
      <c r="A12" s="16" t="str">
        <f>IFNA(VLOOKUP(B12,Sprites!$A$2:$B$1200,2,FALSE),"")</f>
        <v/>
      </c>
      <c r="B12" s="17" t="s">
        <v>325</v>
      </c>
      <c r="C12" s="8">
        <v>265.0</v>
      </c>
      <c r="D12" s="8" t="s">
        <v>168</v>
      </c>
      <c r="E12" s="18">
        <v>405.0</v>
      </c>
      <c r="F12" s="8">
        <v>4.0</v>
      </c>
      <c r="H12" s="8">
        <v>4.0</v>
      </c>
      <c r="I12" s="19">
        <v>11.0</v>
      </c>
      <c r="M12" s="25"/>
      <c r="O12" s="25"/>
    </row>
    <row r="13" ht="22.5" customHeight="1">
      <c r="A13" s="16" t="str">
        <f>IFNA(VLOOKUP(B13,Sprites!$A$2:$B$1200,2,FALSE),"")</f>
        <v/>
      </c>
      <c r="B13" s="17" t="s">
        <v>326</v>
      </c>
      <c r="C13" s="8">
        <v>385.0</v>
      </c>
      <c r="D13" s="8" t="s">
        <v>69</v>
      </c>
      <c r="E13" s="18">
        <v>510.0</v>
      </c>
      <c r="F13" s="8">
        <v>10.0</v>
      </c>
      <c r="G13" s="8" t="s">
        <v>24</v>
      </c>
      <c r="H13" s="8">
        <v>3.0</v>
      </c>
      <c r="I13" s="19">
        <v>12.0</v>
      </c>
      <c r="M13" s="25"/>
      <c r="O13" s="25"/>
    </row>
    <row r="14" ht="22.5" customHeight="1">
      <c r="A14" s="16" t="str">
        <f>IFNA(VLOOKUP(B14,Sprites!$A$2:$B$1200,2,FALSE),"")</f>
        <v/>
      </c>
      <c r="B14" s="17" t="s">
        <v>327</v>
      </c>
      <c r="C14" s="8">
        <v>265.0</v>
      </c>
      <c r="D14" s="8" t="s">
        <v>168</v>
      </c>
      <c r="E14" s="18">
        <v>405.0</v>
      </c>
      <c r="F14" s="8">
        <v>4.0</v>
      </c>
      <c r="G14" s="8" t="s">
        <v>36</v>
      </c>
      <c r="H14" s="8">
        <v>3.0</v>
      </c>
      <c r="I14" s="19">
        <v>13.0</v>
      </c>
      <c r="M14" s="25"/>
      <c r="O14" s="25"/>
    </row>
    <row r="15" ht="22.5" customHeight="1">
      <c r="A15" s="16" t="str">
        <f>IFNA(VLOOKUP(B15,Sprites!$A$2:$B$1200,2,FALSE),"")</f>
        <v/>
      </c>
      <c r="B15" s="17" t="s">
        <v>305</v>
      </c>
      <c r="C15" s="8">
        <v>335.0</v>
      </c>
      <c r="D15" s="8" t="s">
        <v>90</v>
      </c>
      <c r="E15" s="18">
        <v>485.0</v>
      </c>
      <c r="F15" s="8">
        <v>6.0</v>
      </c>
      <c r="G15" s="8" t="s">
        <v>27</v>
      </c>
      <c r="H15" s="8">
        <v>3.0</v>
      </c>
      <c r="I15" s="19">
        <v>14.0</v>
      </c>
      <c r="M15" s="25"/>
      <c r="O15" s="25"/>
    </row>
    <row r="16" ht="22.5" customHeight="1">
      <c r="A16" s="16" t="str">
        <f>IFNA(VLOOKUP(B16,Sprites!$A$2:$B$1200,2,FALSE),"")</f>
        <v/>
      </c>
      <c r="B16" s="17" t="s">
        <v>328</v>
      </c>
      <c r="C16" s="8">
        <v>300.0</v>
      </c>
      <c r="D16" s="8" t="s">
        <v>90</v>
      </c>
      <c r="E16" s="18">
        <v>410.0</v>
      </c>
      <c r="F16" s="8">
        <v>7.0</v>
      </c>
      <c r="G16" s="8" t="s">
        <v>24</v>
      </c>
      <c r="H16" s="8">
        <v>3.0</v>
      </c>
      <c r="I16" s="19">
        <v>15.0</v>
      </c>
      <c r="M16" s="25"/>
      <c r="O16" s="25"/>
    </row>
    <row r="17" ht="22.5" customHeight="1">
      <c r="A17" s="16" t="str">
        <f>IFNA(VLOOKUP(B17,Sprites!$A$2:$B$1200,2,FALSE),"")</f>
        <v/>
      </c>
      <c r="B17" s="17" t="s">
        <v>134</v>
      </c>
      <c r="C17" s="8">
        <v>292.0</v>
      </c>
      <c r="D17" s="8" t="s">
        <v>135</v>
      </c>
      <c r="E17" s="18">
        <v>351.0</v>
      </c>
      <c r="F17" s="8">
        <v>7.0</v>
      </c>
      <c r="G17" s="8" t="s">
        <v>25</v>
      </c>
      <c r="H17" s="8">
        <v>3.0</v>
      </c>
      <c r="I17" s="19">
        <v>16.0</v>
      </c>
      <c r="M17" s="25"/>
      <c r="O17" s="25"/>
    </row>
    <row r="18" ht="22.5" customHeight="1">
      <c r="A18" s="16" t="str">
        <f>IFNA(VLOOKUP(B18,Sprites!$A$2:$B$1200,2,FALSE),"")</f>
        <v/>
      </c>
      <c r="B18" s="17" t="s">
        <v>329</v>
      </c>
      <c r="C18" s="8">
        <v>345.0</v>
      </c>
      <c r="D18" s="8" t="s">
        <v>55</v>
      </c>
      <c r="E18" s="18">
        <v>485.0</v>
      </c>
      <c r="F18" s="8">
        <v>4.0</v>
      </c>
      <c r="G18" s="8" t="s">
        <v>24</v>
      </c>
      <c r="H18" s="8">
        <v>2.0</v>
      </c>
      <c r="I18" s="19">
        <v>17.0</v>
      </c>
      <c r="M18" s="25"/>
      <c r="O18" s="25"/>
    </row>
    <row r="19" ht="22.5" customHeight="1">
      <c r="A19" s="16" t="str">
        <f>IFNA(VLOOKUP(B19,Sprites!$A$2:$B$1200,2,FALSE),"")</f>
        <v/>
      </c>
      <c r="B19" s="17" t="s">
        <v>330</v>
      </c>
      <c r="C19" s="8">
        <v>300.0</v>
      </c>
      <c r="D19" s="8" t="s">
        <v>77</v>
      </c>
      <c r="E19" s="18">
        <v>390.0</v>
      </c>
      <c r="F19" s="8">
        <v>5.0</v>
      </c>
      <c r="G19" s="8" t="s">
        <v>24</v>
      </c>
      <c r="H19" s="8">
        <v>2.0</v>
      </c>
      <c r="I19" s="19">
        <v>18.0</v>
      </c>
      <c r="M19" s="25"/>
      <c r="O19" s="25"/>
    </row>
    <row r="20" ht="22.5" customHeight="1">
      <c r="A20" s="16" t="str">
        <f>IFNA(VLOOKUP(B20,Sprites!$A$2:$B$1200,2,FALSE),"")</f>
        <v/>
      </c>
      <c r="B20" s="17" t="s">
        <v>91</v>
      </c>
      <c r="C20" s="8">
        <v>266.0</v>
      </c>
      <c r="D20" s="8" t="s">
        <v>65</v>
      </c>
      <c r="E20" s="18" t="s">
        <v>92</v>
      </c>
      <c r="F20" s="8">
        <v>2.0</v>
      </c>
      <c r="G20" s="8" t="s">
        <v>39</v>
      </c>
      <c r="H20" s="8">
        <v>2.0</v>
      </c>
      <c r="I20" s="19">
        <v>19.0</v>
      </c>
      <c r="M20" s="25"/>
      <c r="O20" s="25"/>
    </row>
    <row r="21" ht="22.5" customHeight="1">
      <c r="A21" s="16" t="str">
        <f>IFNA(VLOOKUP(B21,Sprites!$A$2:$B$1200,2,FALSE),"")</f>
        <v/>
      </c>
      <c r="B21" s="17" t="s">
        <v>280</v>
      </c>
      <c r="C21" s="8">
        <v>320.0</v>
      </c>
      <c r="D21" s="8" t="s">
        <v>115</v>
      </c>
      <c r="E21" s="18">
        <v>485.0</v>
      </c>
      <c r="F21" s="8">
        <v>7.0</v>
      </c>
      <c r="G21" s="8" t="s">
        <v>29</v>
      </c>
      <c r="H21" s="8">
        <v>2.0</v>
      </c>
      <c r="I21" s="19">
        <v>20.0</v>
      </c>
      <c r="M21" s="25"/>
      <c r="O21" s="25"/>
    </row>
    <row r="22" ht="22.5" customHeight="1">
      <c r="A22" s="16" t="str">
        <f>IFNA(VLOOKUP(B22,Sprites!$A$2:$B$1200,2,FALSE),"")</f>
        <v/>
      </c>
      <c r="B22" s="17" t="s">
        <v>281</v>
      </c>
      <c r="C22" s="8">
        <v>303.0</v>
      </c>
      <c r="D22" s="8" t="s">
        <v>282</v>
      </c>
      <c r="E22" s="18">
        <v>483.0</v>
      </c>
      <c r="F22" s="8">
        <v>8.0</v>
      </c>
      <c r="G22" s="8" t="s">
        <v>29</v>
      </c>
      <c r="H22" s="8">
        <v>2.0</v>
      </c>
      <c r="I22" s="19">
        <v>21.0</v>
      </c>
      <c r="M22" s="25"/>
      <c r="O22" s="25"/>
    </row>
    <row r="23" ht="22.5" customHeight="1">
      <c r="A23" s="16" t="str">
        <f>IFNA(VLOOKUP(B23,Sprites!$A$2:$B$1200,2,FALSE),"")</f>
        <v/>
      </c>
      <c r="B23" s="17" t="s">
        <v>331</v>
      </c>
      <c r="C23" s="8">
        <v>250.0</v>
      </c>
      <c r="D23" s="8" t="s">
        <v>53</v>
      </c>
      <c r="E23" s="18">
        <v>430.0</v>
      </c>
      <c r="F23" s="8">
        <v>5.0</v>
      </c>
      <c r="G23" s="8" t="s">
        <v>35</v>
      </c>
      <c r="H23" s="8">
        <v>2.0</v>
      </c>
      <c r="I23" s="19">
        <v>22.0</v>
      </c>
      <c r="M23" s="25"/>
      <c r="O23" s="25"/>
    </row>
    <row r="24" ht="22.5" customHeight="1">
      <c r="A24" s="16" t="str">
        <f>IFNA(VLOOKUP(B24,Sprites!$A$2:$B$1200,2,FALSE),"")</f>
        <v/>
      </c>
      <c r="B24" s="17" t="s">
        <v>332</v>
      </c>
      <c r="C24" s="8">
        <v>290.0</v>
      </c>
      <c r="D24" s="8" t="s">
        <v>117</v>
      </c>
      <c r="E24" s="18">
        <v>340.0</v>
      </c>
      <c r="F24" s="8">
        <v>6.0</v>
      </c>
      <c r="H24" s="8">
        <v>2.0</v>
      </c>
      <c r="I24" s="19">
        <v>23.0</v>
      </c>
      <c r="M24" s="25"/>
      <c r="O24" s="25"/>
    </row>
    <row r="25" ht="22.5" customHeight="1">
      <c r="A25" s="16" t="str">
        <f>IFNA(VLOOKUP(B25,Sprites!$A$2:$B$1200,2,FALSE),"")</f>
        <v/>
      </c>
      <c r="B25" s="17" t="s">
        <v>333</v>
      </c>
      <c r="C25" s="8">
        <v>300.0</v>
      </c>
      <c r="D25" s="8" t="s">
        <v>73</v>
      </c>
      <c r="E25" s="18">
        <v>450.0</v>
      </c>
      <c r="F25" s="8">
        <v>5.0</v>
      </c>
      <c r="H25" s="8">
        <v>2.0</v>
      </c>
      <c r="I25" s="19">
        <v>24.0</v>
      </c>
      <c r="M25" s="25"/>
      <c r="O25" s="25"/>
    </row>
    <row r="26" ht="22.5" customHeight="1">
      <c r="A26" s="16" t="str">
        <f>IFNA(VLOOKUP(B26,Sprites!$A$2:$B$1200,2,FALSE),"")</f>
        <v/>
      </c>
      <c r="B26" s="17" t="s">
        <v>239</v>
      </c>
      <c r="C26" s="8">
        <v>305.0</v>
      </c>
      <c r="D26" s="8" t="s">
        <v>53</v>
      </c>
      <c r="E26" s="18">
        <v>460.0</v>
      </c>
      <c r="F26" s="8">
        <v>7.0</v>
      </c>
      <c r="G26" s="8" t="s">
        <v>22</v>
      </c>
      <c r="H26" s="8">
        <v>2.0</v>
      </c>
      <c r="I26" s="19">
        <v>25.0</v>
      </c>
      <c r="M26" s="25"/>
      <c r="O26" s="25"/>
    </row>
    <row r="27" ht="22.5" customHeight="1">
      <c r="A27" s="16" t="str">
        <f>IFNA(VLOOKUP(B27,Sprites!$A$2:$B$1200,2,FALSE),"")</f>
        <v/>
      </c>
      <c r="B27" s="17" t="s">
        <v>334</v>
      </c>
      <c r="C27" s="8">
        <v>288.0</v>
      </c>
      <c r="D27" s="8" t="s">
        <v>90</v>
      </c>
      <c r="E27" s="18">
        <v>468.0</v>
      </c>
      <c r="F27" s="8">
        <v>3.0</v>
      </c>
      <c r="G27" s="8" t="s">
        <v>26</v>
      </c>
      <c r="H27" s="8">
        <v>2.0</v>
      </c>
      <c r="I27" s="19">
        <v>26.0</v>
      </c>
      <c r="M27" s="25"/>
      <c r="O27" s="25"/>
    </row>
    <row r="28" ht="22.5" customHeight="1">
      <c r="A28" s="16" t="str">
        <f>IFNA(VLOOKUP(B28,Sprites!$A$2:$B$1200,2,FALSE),"")</f>
        <v/>
      </c>
      <c r="B28" s="17" t="s">
        <v>335</v>
      </c>
      <c r="C28" s="8">
        <v>210.0</v>
      </c>
      <c r="D28" s="8" t="s">
        <v>65</v>
      </c>
      <c r="E28" s="18">
        <v>430.0</v>
      </c>
      <c r="F28" s="8">
        <v>3.0</v>
      </c>
      <c r="G28" s="8" t="s">
        <v>26</v>
      </c>
      <c r="H28" s="8">
        <v>1.0</v>
      </c>
      <c r="I28" s="19">
        <v>27.0</v>
      </c>
      <c r="M28" s="25"/>
      <c r="O28" s="25"/>
    </row>
    <row r="29" ht="22.5" customHeight="1">
      <c r="A29" s="16" t="str">
        <f>IFNA(VLOOKUP(B29,Sprites!$A$2:$B$1200,2,FALSE),"")</f>
        <v/>
      </c>
      <c r="B29" s="17" t="s">
        <v>336</v>
      </c>
      <c r="C29" s="8">
        <v>210.0</v>
      </c>
      <c r="D29" s="8" t="s">
        <v>65</v>
      </c>
      <c r="E29" s="18">
        <v>430.0</v>
      </c>
      <c r="F29" s="8">
        <v>2.0</v>
      </c>
      <c r="G29" s="8" t="s">
        <v>28</v>
      </c>
      <c r="H29" s="8">
        <v>1.0</v>
      </c>
      <c r="I29" s="19">
        <v>28.0</v>
      </c>
      <c r="M29" s="25"/>
      <c r="O29" s="25"/>
    </row>
    <row r="30">
      <c r="A30" s="26" t="str">
        <f>IFNA(VLOOKUP(B30,Sprites!$A$2:$B$1200,2,FALSE),"")</f>
        <v/>
      </c>
      <c r="B30" s="14"/>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45" t="s">
        <v>40</v>
      </c>
      <c r="B1" s="30" t="s">
        <v>41</v>
      </c>
      <c r="C1" s="30" t="s">
        <v>42</v>
      </c>
      <c r="D1" s="30" t="s">
        <v>43</v>
      </c>
      <c r="E1" s="30" t="s">
        <v>44</v>
      </c>
      <c r="F1" s="30" t="s">
        <v>45</v>
      </c>
      <c r="G1" s="30" t="s">
        <v>46</v>
      </c>
      <c r="H1" s="30" t="s">
        <v>47</v>
      </c>
      <c r="I1" s="31" t="s">
        <v>48</v>
      </c>
      <c r="J1" s="14" t="s">
        <v>49</v>
      </c>
      <c r="K1" s="15">
        <v>17.0</v>
      </c>
    </row>
    <row r="2" ht="22.5" customHeight="1">
      <c r="A2" s="16" t="str">
        <f>IFNA(VLOOKUP(B2,Sprites!$A$2:$B$1200,2,FALSE),"")</f>
        <v/>
      </c>
      <c r="B2" s="17" t="s">
        <v>108</v>
      </c>
      <c r="C2" s="8">
        <v>430.0</v>
      </c>
      <c r="D2" s="8" t="s">
        <v>69</v>
      </c>
      <c r="E2" s="8">
        <v>510.0</v>
      </c>
      <c r="F2" s="8">
        <v>7.0</v>
      </c>
      <c r="G2" s="8" t="s">
        <v>25</v>
      </c>
      <c r="H2" s="8">
        <v>7.0</v>
      </c>
      <c r="I2" s="19">
        <v>1.0</v>
      </c>
      <c r="J2" s="14" t="s">
        <v>19</v>
      </c>
      <c r="K2" s="20">
        <f>SUM(C2:C1000)/K1</f>
        <v>309.8823529</v>
      </c>
    </row>
    <row r="3" ht="22.5" customHeight="1">
      <c r="A3" s="16" t="str">
        <f>IFNA(VLOOKUP(B3,Sprites!$A$2:$B$1200,2,FALSE),"")</f>
        <v/>
      </c>
      <c r="B3" s="17" t="s">
        <v>337</v>
      </c>
      <c r="C3" s="8">
        <v>362.0</v>
      </c>
      <c r="D3" s="8" t="s">
        <v>90</v>
      </c>
      <c r="E3" s="8">
        <v>521.0</v>
      </c>
      <c r="F3" s="8">
        <v>5.0</v>
      </c>
      <c r="G3" s="8" t="s">
        <v>24</v>
      </c>
      <c r="H3" s="8">
        <v>7.0</v>
      </c>
      <c r="I3" s="19">
        <v>2.0</v>
      </c>
      <c r="J3" s="14" t="s">
        <v>20</v>
      </c>
      <c r="K3" s="20">
        <f>SUM(H2:H1000)/K1</f>
        <v>4.058823529</v>
      </c>
    </row>
    <row r="4" ht="22.5" customHeight="1">
      <c r="A4" s="16" t="str">
        <f>IFNA(VLOOKUP(B4,Sprites!$A$2:$B$1200,2,FALSE),"")</f>
        <v/>
      </c>
      <c r="B4" s="17" t="s">
        <v>338</v>
      </c>
      <c r="C4" s="8">
        <v>334.0</v>
      </c>
      <c r="D4" s="8" t="s">
        <v>69</v>
      </c>
      <c r="E4" s="8">
        <v>521.0</v>
      </c>
      <c r="F4" s="8">
        <v>8.0</v>
      </c>
      <c r="H4" s="8">
        <v>7.0</v>
      </c>
      <c r="I4" s="19">
        <v>3.0</v>
      </c>
      <c r="J4" s="14" t="s">
        <v>56</v>
      </c>
      <c r="K4" s="21">
        <f>COUNTIF(D2:D1000, "Roguestone")</f>
        <v>5</v>
      </c>
    </row>
    <row r="5" ht="22.5" customHeight="1">
      <c r="A5" s="16" t="str">
        <f>IFNA(VLOOKUP(B5,Sprites!$A$2:$B$1200,2,FALSE),"")</f>
        <v/>
      </c>
      <c r="B5" s="17" t="s">
        <v>339</v>
      </c>
      <c r="C5" s="8">
        <v>304.0</v>
      </c>
      <c r="D5" s="8" t="s">
        <v>208</v>
      </c>
      <c r="E5" s="8">
        <v>514.0</v>
      </c>
      <c r="F5" s="8">
        <v>11.0</v>
      </c>
      <c r="H5" s="8">
        <v>6.0</v>
      </c>
      <c r="I5" s="19">
        <v>4.0</v>
      </c>
      <c r="J5" s="14" t="s">
        <v>58</v>
      </c>
      <c r="K5" s="22">
        <f>K4/K1</f>
        <v>0.2941176471</v>
      </c>
    </row>
    <row r="6" ht="22.5" customHeight="1">
      <c r="A6" s="16" t="str">
        <f>IFNA(VLOOKUP(B6,Sprites!$A$2:$B$1200,2,FALSE),"")</f>
        <v/>
      </c>
      <c r="B6" s="17" t="s">
        <v>340</v>
      </c>
      <c r="C6" s="8">
        <v>305.0</v>
      </c>
      <c r="D6" s="8" t="s">
        <v>208</v>
      </c>
      <c r="E6" s="8">
        <v>505.0</v>
      </c>
      <c r="F6" s="8">
        <v>11.0</v>
      </c>
      <c r="H6" s="8">
        <v>6.0</v>
      </c>
      <c r="I6" s="19">
        <v>5.0</v>
      </c>
    </row>
    <row r="7" ht="22.5" customHeight="1">
      <c r="A7" s="16" t="str">
        <f>IFNA(VLOOKUP(B7,Sprites!$A$2:$B$1200,2,FALSE),"")</f>
        <v/>
      </c>
      <c r="B7" s="17" t="s">
        <v>147</v>
      </c>
      <c r="C7" s="8">
        <v>320.0</v>
      </c>
      <c r="D7" s="8" t="s">
        <v>117</v>
      </c>
      <c r="E7" s="8">
        <v>423.0</v>
      </c>
      <c r="F7" s="8">
        <v>5.0</v>
      </c>
      <c r="G7" s="8" t="s">
        <v>23</v>
      </c>
      <c r="H7" s="8">
        <v>5.0</v>
      </c>
      <c r="I7" s="19">
        <v>6.0</v>
      </c>
    </row>
    <row r="8" ht="22.5" customHeight="1">
      <c r="A8" s="16" t="str">
        <f>IFNA(VLOOKUP(B8,Sprites!$A$2:$B$1200,2,FALSE),"")</f>
        <v/>
      </c>
      <c r="B8" s="17" t="s">
        <v>341</v>
      </c>
      <c r="C8" s="8">
        <v>305.0</v>
      </c>
      <c r="D8" s="8" t="s">
        <v>117</v>
      </c>
      <c r="E8" s="8">
        <v>395.0</v>
      </c>
      <c r="F8" s="8">
        <v>6.0</v>
      </c>
      <c r="H8" s="8">
        <v>5.0</v>
      </c>
      <c r="I8" s="19">
        <v>7.0</v>
      </c>
    </row>
    <row r="9" ht="22.5" customHeight="1">
      <c r="A9" s="16" t="str">
        <f>IFNA(VLOOKUP(B9,Sprites!$A$2:$B$1200,2,FALSE),"")</f>
        <v/>
      </c>
      <c r="B9" s="17" t="s">
        <v>342</v>
      </c>
      <c r="C9" s="8">
        <v>299.0</v>
      </c>
      <c r="D9" s="8" t="s">
        <v>69</v>
      </c>
      <c r="E9" s="8">
        <v>505.0</v>
      </c>
      <c r="F9" s="8">
        <v>8.0</v>
      </c>
      <c r="H9" s="8">
        <v>4.0</v>
      </c>
      <c r="I9" s="19">
        <v>8.0</v>
      </c>
    </row>
    <row r="10" ht="22.5" customHeight="1">
      <c r="A10" s="16" t="str">
        <f>IFNA(VLOOKUP(B10,Sprites!$A$2:$B$1200,2,FALSE),"")</f>
        <v/>
      </c>
      <c r="B10" s="17" t="s">
        <v>302</v>
      </c>
      <c r="C10" s="8">
        <v>334.0</v>
      </c>
      <c r="D10" s="8" t="s">
        <v>55</v>
      </c>
      <c r="E10" s="8">
        <v>494.0</v>
      </c>
      <c r="F10" s="8">
        <v>4.0</v>
      </c>
      <c r="G10" s="8" t="s">
        <v>27</v>
      </c>
      <c r="H10" s="8">
        <v>4.0</v>
      </c>
      <c r="I10" s="19">
        <v>9.0</v>
      </c>
    </row>
    <row r="11" ht="22.5" customHeight="1">
      <c r="A11" s="16" t="str">
        <f>IFNA(VLOOKUP(B11,Sprites!$A$2:$B$1200,2,FALSE),"")</f>
        <v/>
      </c>
      <c r="B11" s="17" t="s">
        <v>343</v>
      </c>
      <c r="C11" s="8">
        <v>290.0</v>
      </c>
      <c r="D11" s="8" t="s">
        <v>131</v>
      </c>
      <c r="E11" s="8">
        <v>410.0</v>
      </c>
      <c r="F11" s="8">
        <v>5.0</v>
      </c>
      <c r="G11" s="8" t="s">
        <v>26</v>
      </c>
      <c r="H11" s="8">
        <v>3.0</v>
      </c>
      <c r="I11" s="19">
        <v>10.0</v>
      </c>
    </row>
    <row r="12" ht="22.5" customHeight="1">
      <c r="A12" s="16" t="str">
        <f>IFNA(VLOOKUP(B12,Sprites!$A$2:$B$1200,2,FALSE),"")</f>
        <v/>
      </c>
      <c r="B12" s="17" t="s">
        <v>344</v>
      </c>
      <c r="C12" s="8">
        <v>315.0</v>
      </c>
      <c r="D12" s="8" t="s">
        <v>69</v>
      </c>
      <c r="E12" s="8">
        <v>480.0</v>
      </c>
      <c r="F12" s="8">
        <v>7.0</v>
      </c>
      <c r="H12" s="8">
        <v>3.0</v>
      </c>
      <c r="I12" s="19">
        <v>11.0</v>
      </c>
    </row>
    <row r="13" ht="22.5" customHeight="1">
      <c r="A13" s="16" t="str">
        <f>IFNA(VLOOKUP(B13,Sprites!$A$2:$B$1200,2,FALSE),"")</f>
        <v/>
      </c>
      <c r="B13" s="17" t="s">
        <v>345</v>
      </c>
      <c r="C13" s="8">
        <v>300.0</v>
      </c>
      <c r="D13" s="8" t="s">
        <v>346</v>
      </c>
      <c r="E13" s="8">
        <v>480.0</v>
      </c>
      <c r="F13" s="8">
        <v>7.0</v>
      </c>
      <c r="H13" s="8">
        <v>3.0</v>
      </c>
      <c r="I13" s="19">
        <v>12.0</v>
      </c>
    </row>
    <row r="14" ht="22.5" customHeight="1">
      <c r="A14" s="16" t="str">
        <f>IFNA(VLOOKUP(B14,Sprites!$A$2:$B$1200,2,FALSE),"")</f>
        <v/>
      </c>
      <c r="B14" s="17" t="s">
        <v>347</v>
      </c>
      <c r="C14" s="8">
        <v>300.0</v>
      </c>
      <c r="D14" s="8" t="s">
        <v>69</v>
      </c>
      <c r="E14" s="8">
        <v>450.0</v>
      </c>
      <c r="F14" s="8">
        <v>11.0</v>
      </c>
      <c r="G14" s="8" t="s">
        <v>36</v>
      </c>
      <c r="H14" s="8">
        <v>2.0</v>
      </c>
      <c r="I14" s="19">
        <v>13.0</v>
      </c>
    </row>
    <row r="15" ht="22.5" customHeight="1">
      <c r="A15" s="16" t="str">
        <f>IFNA(VLOOKUP(B15,Sprites!$A$2:$B$1200,2,FALSE),"")</f>
        <v/>
      </c>
      <c r="B15" s="17" t="s">
        <v>348</v>
      </c>
      <c r="C15" s="8">
        <v>305.0</v>
      </c>
      <c r="D15" s="8" t="s">
        <v>90</v>
      </c>
      <c r="E15" s="8">
        <v>455.0</v>
      </c>
      <c r="F15" s="8">
        <v>5.0</v>
      </c>
      <c r="G15" s="8" t="s">
        <v>34</v>
      </c>
      <c r="H15" s="8">
        <v>2.0</v>
      </c>
      <c r="I15" s="19">
        <v>14.0</v>
      </c>
    </row>
    <row r="16" ht="22.5" customHeight="1">
      <c r="A16" s="16" t="str">
        <f>IFNA(VLOOKUP(B16,Sprites!$A$2:$B$1200,2,FALSE),"")</f>
        <v/>
      </c>
      <c r="B16" s="17" t="s">
        <v>264</v>
      </c>
      <c r="C16" s="8">
        <v>330.0</v>
      </c>
      <c r="D16" s="8" t="s">
        <v>113</v>
      </c>
      <c r="E16" s="8">
        <v>430.0</v>
      </c>
      <c r="F16" s="8">
        <v>1.0</v>
      </c>
      <c r="G16" s="8" t="s">
        <v>32</v>
      </c>
      <c r="H16" s="8">
        <v>2.0</v>
      </c>
      <c r="I16" s="19">
        <v>15.0</v>
      </c>
    </row>
    <row r="17" ht="22.5" customHeight="1">
      <c r="A17" s="16" t="str">
        <f>IFNA(VLOOKUP(B17,Sprites!$A$2:$B$1200,2,FALSE),"")</f>
        <v/>
      </c>
      <c r="B17" s="17" t="s">
        <v>331</v>
      </c>
      <c r="C17" s="8">
        <v>250.0</v>
      </c>
      <c r="D17" s="8" t="s">
        <v>53</v>
      </c>
      <c r="E17" s="8">
        <v>450.0</v>
      </c>
      <c r="F17" s="8">
        <v>5.0</v>
      </c>
      <c r="G17" s="8" t="s">
        <v>38</v>
      </c>
      <c r="H17" s="8">
        <v>2.0</v>
      </c>
      <c r="I17" s="19">
        <v>16.0</v>
      </c>
    </row>
    <row r="18" ht="22.5" customHeight="1">
      <c r="A18" s="16" t="str">
        <f>IFNA(VLOOKUP(B18,Sprites!$A$2:$B$1200,2,FALSE),"")</f>
        <v/>
      </c>
      <c r="B18" s="17" t="s">
        <v>97</v>
      </c>
      <c r="C18" s="8">
        <v>185.0</v>
      </c>
      <c r="D18" s="8" t="s">
        <v>67</v>
      </c>
      <c r="E18" s="8">
        <v>475.0</v>
      </c>
      <c r="F18" s="8">
        <v>0.0</v>
      </c>
      <c r="G18" s="8" t="s">
        <v>39</v>
      </c>
      <c r="H18" s="8">
        <v>1.0</v>
      </c>
      <c r="I18" s="19">
        <v>17.0</v>
      </c>
    </row>
    <row r="19">
      <c r="A19" s="23"/>
      <c r="B19" s="14"/>
      <c r="I19" s="14"/>
    </row>
    <row r="20">
      <c r="A20" s="23"/>
      <c r="B20" s="23" t="s">
        <v>137</v>
      </c>
      <c r="C20" s="23" t="s">
        <v>138</v>
      </c>
    </row>
    <row r="21">
      <c r="A21" s="23"/>
      <c r="B21" s="35">
        <v>46001.0</v>
      </c>
      <c r="C21" s="15" t="s">
        <v>140</v>
      </c>
    </row>
    <row r="22">
      <c r="A22" s="23"/>
      <c r="B22" s="14"/>
      <c r="I22" s="14"/>
    </row>
    <row r="23">
      <c r="A23" s="23"/>
      <c r="B23" s="14"/>
      <c r="I23" s="14"/>
    </row>
    <row r="24">
      <c r="A24" s="23"/>
      <c r="B24" s="14"/>
      <c r="I24" s="14"/>
    </row>
    <row r="25">
      <c r="A25" s="23"/>
      <c r="B25" s="14"/>
      <c r="I25" s="14"/>
    </row>
    <row r="26">
      <c r="A26" s="23"/>
      <c r="B26" s="14"/>
      <c r="I26" s="14"/>
    </row>
    <row r="27">
      <c r="A27" s="23"/>
      <c r="B27" s="14"/>
      <c r="I27" s="14"/>
    </row>
    <row r="28">
      <c r="A28" s="23"/>
      <c r="B28" s="14"/>
      <c r="I28" s="14"/>
    </row>
    <row r="29">
      <c r="A29" s="23"/>
      <c r="B29" s="14"/>
      <c r="I29" s="14"/>
    </row>
    <row r="30">
      <c r="A30" s="23"/>
      <c r="B30" s="14"/>
      <c r="I30" s="14"/>
    </row>
    <row r="31">
      <c r="A31" s="23"/>
      <c r="B31" s="14"/>
      <c r="I31" s="14"/>
    </row>
    <row r="32">
      <c r="A32" s="23"/>
      <c r="B32" s="14"/>
      <c r="I32" s="14"/>
    </row>
    <row r="33">
      <c r="A33" s="23"/>
      <c r="B33" s="14"/>
      <c r="I33" s="14"/>
    </row>
    <row r="34">
      <c r="A34" s="23"/>
      <c r="B34" s="14"/>
      <c r="I34" s="14"/>
    </row>
    <row r="35">
      <c r="A35" s="23"/>
      <c r="B35" s="14"/>
      <c r="I35" s="14"/>
    </row>
    <row r="36">
      <c r="A36" s="23"/>
      <c r="B36" s="14"/>
      <c r="I36" s="14"/>
    </row>
    <row r="37">
      <c r="A37" s="23"/>
      <c r="B37" s="14"/>
      <c r="I37" s="14"/>
    </row>
    <row r="38">
      <c r="A38" s="23"/>
      <c r="B38" s="14"/>
      <c r="I38" s="14"/>
    </row>
    <row r="39">
      <c r="A39" s="23"/>
      <c r="B39" s="14"/>
      <c r="I39" s="14"/>
    </row>
    <row r="40">
      <c r="A40" s="23"/>
      <c r="B40" s="14"/>
      <c r="I40" s="14"/>
    </row>
    <row r="41">
      <c r="A41" s="23"/>
      <c r="B41" s="14"/>
      <c r="I41" s="14"/>
    </row>
    <row r="42">
      <c r="A42" s="23"/>
      <c r="B42" s="14"/>
      <c r="I42" s="14"/>
    </row>
    <row r="43">
      <c r="A43" s="23"/>
      <c r="B43" s="14"/>
      <c r="I43" s="14"/>
    </row>
    <row r="44">
      <c r="A44" s="23"/>
      <c r="B44" s="14"/>
      <c r="I44" s="14"/>
    </row>
    <row r="45">
      <c r="A45" s="23"/>
      <c r="B45" s="14"/>
      <c r="I45" s="14"/>
    </row>
    <row r="46">
      <c r="A46" s="23"/>
      <c r="B46" s="14"/>
      <c r="I46" s="14"/>
    </row>
    <row r="47">
      <c r="A47" s="23"/>
      <c r="B47" s="14"/>
      <c r="I47" s="14"/>
    </row>
    <row r="48">
      <c r="A48" s="23"/>
      <c r="B48" s="14"/>
      <c r="I48" s="14"/>
    </row>
    <row r="49">
      <c r="A49" s="23"/>
      <c r="B49" s="14"/>
      <c r="I49" s="14"/>
    </row>
    <row r="50">
      <c r="A50" s="23"/>
      <c r="B50" s="14"/>
      <c r="I50" s="14"/>
    </row>
    <row r="51">
      <c r="A51" s="23"/>
      <c r="B51" s="14"/>
      <c r="I51" s="14"/>
    </row>
    <row r="52">
      <c r="A52" s="23"/>
      <c r="B52" s="14"/>
      <c r="I52" s="14"/>
    </row>
    <row r="53">
      <c r="A53" s="23"/>
      <c r="B53" s="14"/>
      <c r="I53" s="14"/>
    </row>
    <row r="54">
      <c r="A54" s="23"/>
      <c r="B54" s="14"/>
      <c r="I54" s="14"/>
    </row>
    <row r="55">
      <c r="A55" s="23"/>
      <c r="B55" s="14"/>
      <c r="I55" s="14"/>
    </row>
    <row r="56">
      <c r="A56" s="23"/>
      <c r="B56" s="14"/>
      <c r="I56" s="14"/>
    </row>
    <row r="57">
      <c r="A57" s="23"/>
      <c r="B57" s="14"/>
      <c r="I57" s="14"/>
    </row>
    <row r="58">
      <c r="A58" s="23"/>
      <c r="B58" s="14"/>
      <c r="I58" s="14"/>
    </row>
    <row r="59">
      <c r="A59" s="28"/>
      <c r="B59" s="27"/>
      <c r="I59" s="27"/>
    </row>
    <row r="60">
      <c r="A60" s="28"/>
      <c r="B60" s="27"/>
      <c r="I60" s="27"/>
    </row>
    <row r="61">
      <c r="A61" s="28"/>
      <c r="B61" s="27"/>
      <c r="I61" s="27"/>
    </row>
    <row r="62">
      <c r="A62" s="28"/>
      <c r="B62" s="27"/>
      <c r="I62" s="27"/>
    </row>
    <row r="63">
      <c r="A63" s="28"/>
      <c r="B63" s="27"/>
      <c r="I63" s="27"/>
    </row>
    <row r="64">
      <c r="A64" s="28"/>
      <c r="B64" s="27"/>
      <c r="I64" s="27"/>
    </row>
    <row r="65">
      <c r="A65" s="28"/>
      <c r="B65" s="27"/>
      <c r="I65" s="27"/>
    </row>
    <row r="66">
      <c r="A66" s="28"/>
      <c r="B66" s="27"/>
      <c r="I66" s="27"/>
    </row>
    <row r="67">
      <c r="A67" s="28"/>
      <c r="B67" s="27"/>
      <c r="I67" s="27"/>
    </row>
    <row r="68">
      <c r="A68" s="28"/>
      <c r="B68" s="27"/>
      <c r="I68" s="27"/>
    </row>
    <row r="69">
      <c r="A69" s="28"/>
      <c r="B69" s="27"/>
      <c r="I69" s="27"/>
    </row>
    <row r="70">
      <c r="A70" s="28"/>
      <c r="B70" s="27"/>
      <c r="I70" s="27"/>
    </row>
    <row r="71">
      <c r="A71" s="28"/>
      <c r="B71" s="27"/>
      <c r="I71" s="27"/>
    </row>
    <row r="72">
      <c r="A72" s="28"/>
      <c r="B72" s="27"/>
      <c r="I72" s="27"/>
    </row>
    <row r="73">
      <c r="A73" s="28"/>
      <c r="B73" s="27"/>
      <c r="I73" s="27"/>
    </row>
    <row r="74">
      <c r="A74" s="28"/>
      <c r="B74" s="27"/>
      <c r="I74" s="27"/>
    </row>
    <row r="75">
      <c r="A75" s="28"/>
      <c r="B75" s="27"/>
      <c r="I75" s="27"/>
    </row>
    <row r="76">
      <c r="A76" s="28"/>
      <c r="B76" s="27"/>
      <c r="I76" s="27"/>
    </row>
    <row r="77">
      <c r="A77" s="28"/>
      <c r="B77" s="27"/>
      <c r="I77" s="27"/>
    </row>
    <row r="78">
      <c r="A78" s="28"/>
      <c r="B78" s="27"/>
      <c r="I78" s="27"/>
    </row>
    <row r="79">
      <c r="A79" s="28"/>
      <c r="B79" s="27"/>
      <c r="I79" s="27"/>
    </row>
    <row r="80">
      <c r="A80" s="28"/>
      <c r="B80" s="27"/>
      <c r="I80" s="27"/>
    </row>
    <row r="81">
      <c r="A81" s="28"/>
      <c r="B81" s="27"/>
      <c r="I81" s="27"/>
    </row>
    <row r="82">
      <c r="A82" s="28"/>
      <c r="B82" s="27"/>
      <c r="I82" s="27"/>
    </row>
    <row r="83">
      <c r="A83" s="28"/>
      <c r="B83" s="27"/>
      <c r="I83" s="27"/>
    </row>
    <row r="84">
      <c r="A84" s="28"/>
      <c r="B84" s="27"/>
      <c r="I84" s="27"/>
    </row>
    <row r="85">
      <c r="A85" s="28"/>
      <c r="B85" s="27"/>
      <c r="I85" s="27"/>
    </row>
    <row r="86">
      <c r="A86" s="28"/>
      <c r="B86" s="27"/>
      <c r="I86" s="27"/>
    </row>
    <row r="87">
      <c r="A87" s="28"/>
      <c r="B87" s="27"/>
      <c r="I87" s="27"/>
    </row>
    <row r="88">
      <c r="A88" s="28"/>
      <c r="B88" s="27"/>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mergeCells count="2">
    <mergeCell ref="C20:I20"/>
    <mergeCell ref="C21:I21"/>
  </mergeCell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45" t="s">
        <v>40</v>
      </c>
      <c r="B1" s="30" t="s">
        <v>41</v>
      </c>
      <c r="C1" s="30" t="s">
        <v>42</v>
      </c>
      <c r="D1" s="30" t="s">
        <v>43</v>
      </c>
      <c r="E1" s="30" t="s">
        <v>44</v>
      </c>
      <c r="F1" s="30" t="s">
        <v>45</v>
      </c>
      <c r="G1" s="30" t="s">
        <v>46</v>
      </c>
      <c r="H1" s="30" t="s">
        <v>47</v>
      </c>
      <c r="I1" s="31" t="s">
        <v>48</v>
      </c>
      <c r="J1" s="14" t="s">
        <v>49</v>
      </c>
      <c r="K1" s="15">
        <v>55.0</v>
      </c>
    </row>
    <row r="2" ht="22.5" customHeight="1">
      <c r="A2" s="16" t="str">
        <f>IFNA(VLOOKUP(B2,Sprites!$A$2:$B$1200,2,FALSE),"")</f>
        <v/>
      </c>
      <c r="B2" s="17" t="s">
        <v>349</v>
      </c>
      <c r="C2" s="8">
        <v>465.0</v>
      </c>
      <c r="D2" s="8" t="s">
        <v>350</v>
      </c>
      <c r="E2" s="18">
        <v>525.0</v>
      </c>
      <c r="F2" s="8">
        <v>8.0</v>
      </c>
      <c r="H2" s="8">
        <v>10.0</v>
      </c>
      <c r="I2" s="19">
        <v>1.0</v>
      </c>
      <c r="J2" s="14" t="s">
        <v>19</v>
      </c>
      <c r="K2" s="20">
        <f>SUM(C2:C1001)/K1</f>
        <v>296.3636364</v>
      </c>
    </row>
    <row r="3" ht="22.5" customHeight="1">
      <c r="A3" s="16" t="str">
        <f>IFNA(VLOOKUP(B3,Sprites!$A$2:$B$1200,2,FALSE),"")</f>
        <v/>
      </c>
      <c r="B3" s="17" t="s">
        <v>351</v>
      </c>
      <c r="C3" s="8">
        <v>455.0</v>
      </c>
      <c r="D3" s="8" t="s">
        <v>131</v>
      </c>
      <c r="E3" s="18">
        <v>520.0</v>
      </c>
      <c r="F3" s="8">
        <v>6.0</v>
      </c>
      <c r="G3" s="8" t="s">
        <v>34</v>
      </c>
      <c r="H3" s="8">
        <v>9.0</v>
      </c>
      <c r="I3" s="19">
        <v>2.0</v>
      </c>
      <c r="J3" s="14" t="s">
        <v>20</v>
      </c>
      <c r="K3" s="20">
        <f>SUM(H2:H1001)/K1</f>
        <v>4.181818182</v>
      </c>
    </row>
    <row r="4" ht="22.5" customHeight="1">
      <c r="A4" s="16" t="str">
        <f>IFNA(VLOOKUP(B4,Sprites!$A$2:$B$1200,2,FALSE),"")</f>
        <v/>
      </c>
      <c r="B4" s="17" t="s">
        <v>352</v>
      </c>
      <c r="C4" s="8">
        <v>390.0</v>
      </c>
      <c r="D4" s="8" t="s">
        <v>67</v>
      </c>
      <c r="E4" s="18">
        <v>540.0</v>
      </c>
      <c r="F4" s="8">
        <v>11.0</v>
      </c>
      <c r="H4" s="8">
        <v>8.0</v>
      </c>
      <c r="I4" s="19">
        <v>3.0</v>
      </c>
      <c r="J4" s="14" t="s">
        <v>56</v>
      </c>
      <c r="K4" s="21">
        <f>COUNTIF(D2:D1000, "Roguestone")</f>
        <v>5</v>
      </c>
    </row>
    <row r="5" ht="22.5" customHeight="1">
      <c r="A5" s="16" t="str">
        <f>IFNA(VLOOKUP(B5,Sprites!$A$2:$B$1200,2,FALSE),"")</f>
        <v/>
      </c>
      <c r="B5" s="17" t="s">
        <v>353</v>
      </c>
      <c r="C5" s="8">
        <v>415.0</v>
      </c>
      <c r="D5" s="8" t="s">
        <v>131</v>
      </c>
      <c r="E5" s="18">
        <v>520.0</v>
      </c>
      <c r="F5" s="8">
        <v>6.0</v>
      </c>
      <c r="H5" s="8">
        <v>8.0</v>
      </c>
      <c r="I5" s="19">
        <v>4.0</v>
      </c>
      <c r="J5" s="14" t="s">
        <v>58</v>
      </c>
      <c r="K5" s="22">
        <f>K4/K1</f>
        <v>0.09090909091</v>
      </c>
    </row>
    <row r="6" ht="22.5" customHeight="1">
      <c r="A6" s="16" t="str">
        <f>IFNA(VLOOKUP(B6,Sprites!$A$2:$B$1200,2,FALSE),"")</f>
        <v/>
      </c>
      <c r="B6" s="17" t="s">
        <v>266</v>
      </c>
      <c r="C6" s="8">
        <v>330.0</v>
      </c>
      <c r="D6" s="8" t="s">
        <v>90</v>
      </c>
      <c r="E6" s="18">
        <v>510.0</v>
      </c>
      <c r="F6" s="8">
        <v>5.0</v>
      </c>
      <c r="G6" s="8" t="s">
        <v>29</v>
      </c>
      <c r="H6" s="8">
        <v>8.0</v>
      </c>
      <c r="I6" s="19">
        <v>5.0</v>
      </c>
      <c r="L6" s="23"/>
      <c r="M6" s="24"/>
      <c r="N6" s="23"/>
      <c r="O6" s="24"/>
    </row>
    <row r="7" ht="22.5" customHeight="1">
      <c r="A7" s="16" t="str">
        <f>IFNA(VLOOKUP(B7,Sprites!$A$2:$B$1200,2,FALSE),"")</f>
        <v/>
      </c>
      <c r="B7" s="17" t="s">
        <v>354</v>
      </c>
      <c r="C7" s="8">
        <v>325.0</v>
      </c>
      <c r="D7" s="8" t="s">
        <v>69</v>
      </c>
      <c r="E7" s="18">
        <v>525.0</v>
      </c>
      <c r="F7" s="8">
        <v>6.0</v>
      </c>
      <c r="H7" s="8">
        <v>7.0</v>
      </c>
      <c r="I7" s="19">
        <v>6.0</v>
      </c>
      <c r="M7" s="25"/>
      <c r="O7" s="25"/>
    </row>
    <row r="8" ht="22.5" customHeight="1">
      <c r="A8" s="16" t="str">
        <f>IFNA(VLOOKUP(B8,Sprites!$A$2:$B$1200,2,FALSE),"")</f>
        <v/>
      </c>
      <c r="B8" s="17" t="s">
        <v>355</v>
      </c>
      <c r="C8" s="8">
        <v>250.0</v>
      </c>
      <c r="D8" s="8" t="s">
        <v>63</v>
      </c>
      <c r="E8" s="18">
        <v>410.0</v>
      </c>
      <c r="F8" s="8">
        <v>2.0</v>
      </c>
      <c r="H8" s="8">
        <v>7.0</v>
      </c>
      <c r="I8" s="19">
        <v>7.0</v>
      </c>
      <c r="M8" s="25"/>
      <c r="O8" s="25"/>
    </row>
    <row r="9" ht="22.5" customHeight="1">
      <c r="A9" s="16" t="str">
        <f>IFNA(VLOOKUP(B9,Sprites!$A$2:$B$1200,2,FALSE),"")</f>
        <v/>
      </c>
      <c r="B9" s="17" t="s">
        <v>356</v>
      </c>
      <c r="C9" s="8">
        <v>385.0</v>
      </c>
      <c r="D9" s="8" t="s">
        <v>53</v>
      </c>
      <c r="E9" s="18">
        <v>515.0</v>
      </c>
      <c r="F9" s="8">
        <v>4.0</v>
      </c>
      <c r="H9" s="8">
        <v>7.0</v>
      </c>
      <c r="I9" s="19">
        <v>8.0</v>
      </c>
      <c r="M9" s="25"/>
      <c r="O9" s="25"/>
    </row>
    <row r="10" ht="22.5" customHeight="1">
      <c r="A10" s="16" t="str">
        <f>IFNA(VLOOKUP(B10,Sprites!$A$2:$B$1200,2,FALSE),"")</f>
        <v/>
      </c>
      <c r="B10" s="17" t="s">
        <v>229</v>
      </c>
      <c r="C10" s="8">
        <v>369.0</v>
      </c>
      <c r="D10" s="8" t="s">
        <v>117</v>
      </c>
      <c r="E10" s="18">
        <v>507.0</v>
      </c>
      <c r="F10" s="8">
        <v>6.0</v>
      </c>
      <c r="G10" s="8" t="s">
        <v>22</v>
      </c>
      <c r="H10" s="8">
        <v>7.0</v>
      </c>
      <c r="I10" s="19">
        <v>9.0</v>
      </c>
      <c r="M10" s="25"/>
      <c r="O10" s="25"/>
    </row>
    <row r="11" ht="22.5" customHeight="1">
      <c r="A11" s="16" t="str">
        <f>IFNA(VLOOKUP(B11,Sprites!$A$2:$B$1200,2,FALSE),"")</f>
        <v/>
      </c>
      <c r="B11" s="17" t="s">
        <v>357</v>
      </c>
      <c r="C11" s="8">
        <v>350.0</v>
      </c>
      <c r="D11" s="8" t="s">
        <v>67</v>
      </c>
      <c r="E11" s="18">
        <v>480.0</v>
      </c>
      <c r="F11" s="8">
        <v>7.0</v>
      </c>
      <c r="H11" s="8">
        <v>7.0</v>
      </c>
      <c r="I11" s="19">
        <v>10.0</v>
      </c>
      <c r="M11" s="25"/>
      <c r="O11" s="25"/>
    </row>
    <row r="12" ht="22.5" customHeight="1">
      <c r="A12" s="16" t="str">
        <f>IFNA(VLOOKUP(B12,Sprites!$A$2:$B$1200,2,FALSE),"")</f>
        <v/>
      </c>
      <c r="B12" s="17" t="s">
        <v>358</v>
      </c>
      <c r="C12" s="8">
        <v>395.0</v>
      </c>
      <c r="D12" s="8" t="s">
        <v>69</v>
      </c>
      <c r="E12" s="18">
        <v>515.0</v>
      </c>
      <c r="F12" s="8">
        <v>9.0</v>
      </c>
      <c r="H12" s="8">
        <v>6.0</v>
      </c>
      <c r="I12" s="19">
        <v>11.0</v>
      </c>
      <c r="M12" s="25"/>
      <c r="O12" s="25"/>
    </row>
    <row r="13" ht="22.5" customHeight="1">
      <c r="A13" s="16" t="str">
        <f>IFNA(VLOOKUP(B13,Sprites!$A$2:$B$1200,2,FALSE),"")</f>
        <v/>
      </c>
      <c r="B13" s="17" t="s">
        <v>359</v>
      </c>
      <c r="C13" s="8">
        <v>215.0</v>
      </c>
      <c r="D13" s="8" t="s">
        <v>63</v>
      </c>
      <c r="E13" s="18">
        <v>415.0</v>
      </c>
      <c r="F13" s="8">
        <v>1.0</v>
      </c>
      <c r="H13" s="8">
        <v>6.0</v>
      </c>
      <c r="I13" s="19">
        <v>12.0</v>
      </c>
      <c r="M13" s="25"/>
      <c r="O13" s="25"/>
    </row>
    <row r="14" ht="22.5" customHeight="1">
      <c r="A14" s="16" t="str">
        <f>IFNA(VLOOKUP(B14,Sprites!$A$2:$B$1200,2,FALSE),"")</f>
        <v/>
      </c>
      <c r="B14" s="17" t="s">
        <v>202</v>
      </c>
      <c r="C14" s="8">
        <v>340.0</v>
      </c>
      <c r="D14" s="8" t="s">
        <v>162</v>
      </c>
      <c r="E14" s="18">
        <v>500.0</v>
      </c>
      <c r="F14" s="8">
        <v>4.0</v>
      </c>
      <c r="G14" s="8" t="s">
        <v>30</v>
      </c>
      <c r="H14" s="8">
        <v>6.0</v>
      </c>
      <c r="I14" s="19">
        <v>13.0</v>
      </c>
      <c r="M14" s="25"/>
      <c r="O14" s="25"/>
    </row>
    <row r="15" ht="22.5" customHeight="1">
      <c r="A15" s="16" t="str">
        <f>IFNA(VLOOKUP(B15,Sprites!$A$2:$B$1200,2,FALSE),"")</f>
        <v/>
      </c>
      <c r="B15" s="17" t="s">
        <v>360</v>
      </c>
      <c r="C15" s="8">
        <v>275.0</v>
      </c>
      <c r="D15" s="8" t="s">
        <v>219</v>
      </c>
      <c r="E15" s="18">
        <v>370.0</v>
      </c>
      <c r="F15" s="8">
        <v>1.0</v>
      </c>
      <c r="H15" s="8">
        <v>6.0</v>
      </c>
      <c r="I15" s="19">
        <v>14.0</v>
      </c>
      <c r="M15" s="25"/>
      <c r="O15" s="25"/>
    </row>
    <row r="16" ht="22.5" customHeight="1">
      <c r="A16" s="16" t="str">
        <f>IFNA(VLOOKUP(B16,Sprites!$A$2:$B$1200,2,FALSE),"")</f>
        <v/>
      </c>
      <c r="B16" s="17" t="s">
        <v>296</v>
      </c>
      <c r="C16" s="8">
        <v>335.0</v>
      </c>
      <c r="D16" s="8" t="s">
        <v>75</v>
      </c>
      <c r="E16" s="18">
        <v>475.0</v>
      </c>
      <c r="F16" s="8">
        <v>7.0</v>
      </c>
      <c r="G16" s="8" t="s">
        <v>27</v>
      </c>
      <c r="H16" s="8">
        <v>6.0</v>
      </c>
      <c r="I16" s="19">
        <v>15.0</v>
      </c>
      <c r="M16" s="25"/>
      <c r="O16" s="25"/>
    </row>
    <row r="17" ht="22.5" customHeight="1">
      <c r="A17" s="16" t="str">
        <f>IFNA(VLOOKUP(B17,Sprites!$A$2:$B$1200,2,FALSE),"")</f>
        <v/>
      </c>
      <c r="B17" s="17" t="s">
        <v>361</v>
      </c>
      <c r="C17" s="8">
        <v>330.0</v>
      </c>
      <c r="D17" s="8" t="s">
        <v>90</v>
      </c>
      <c r="E17" s="18">
        <v>500.0</v>
      </c>
      <c r="F17" s="8">
        <v>5.0</v>
      </c>
      <c r="H17" s="8">
        <v>5.0</v>
      </c>
      <c r="I17" s="19">
        <v>16.0</v>
      </c>
      <c r="M17" s="25"/>
      <c r="O17" s="25"/>
    </row>
    <row r="18" ht="22.5" customHeight="1">
      <c r="A18" s="16" t="str">
        <f>IFNA(VLOOKUP(B18,Sprites!$A$2:$B$1200,2,FALSE),"")</f>
        <v/>
      </c>
      <c r="B18" s="17" t="s">
        <v>245</v>
      </c>
      <c r="C18" s="8">
        <v>245.0</v>
      </c>
      <c r="D18" s="8" t="s">
        <v>217</v>
      </c>
      <c r="E18" s="18">
        <v>340.0</v>
      </c>
      <c r="F18" s="8">
        <v>2.0</v>
      </c>
      <c r="G18" s="8" t="s">
        <v>32</v>
      </c>
      <c r="H18" s="8">
        <v>5.0</v>
      </c>
      <c r="I18" s="19">
        <v>17.0</v>
      </c>
      <c r="M18" s="25"/>
      <c r="O18" s="25"/>
    </row>
    <row r="19" ht="22.5" customHeight="1">
      <c r="A19" s="16" t="str">
        <f>IFNA(VLOOKUP(B19,Sprites!$A$2:$B$1200,2,FALSE),"")</f>
        <v/>
      </c>
      <c r="B19" s="17" t="s">
        <v>362</v>
      </c>
      <c r="C19" s="8">
        <v>253.0</v>
      </c>
      <c r="D19" s="8" t="s">
        <v>65</v>
      </c>
      <c r="E19" s="18">
        <v>413.0</v>
      </c>
      <c r="F19" s="8">
        <v>4.0</v>
      </c>
      <c r="H19" s="8">
        <v>5.0</v>
      </c>
      <c r="I19" s="19">
        <v>18.0</v>
      </c>
      <c r="M19" s="25"/>
      <c r="O19" s="25"/>
    </row>
    <row r="20" ht="22.5" customHeight="1">
      <c r="A20" s="16" t="str">
        <f>IFNA(VLOOKUP(B20,Sprites!$A$2:$B$1200,2,FALSE),"")</f>
        <v/>
      </c>
      <c r="B20" s="17" t="s">
        <v>246</v>
      </c>
      <c r="C20" s="8">
        <v>350.0</v>
      </c>
      <c r="D20" s="8" t="s">
        <v>51</v>
      </c>
      <c r="E20" s="18">
        <v>510.0</v>
      </c>
      <c r="F20" s="8">
        <v>5.0</v>
      </c>
      <c r="G20" s="8" t="s">
        <v>32</v>
      </c>
      <c r="H20" s="8">
        <v>5.0</v>
      </c>
      <c r="I20" s="19">
        <v>19.0</v>
      </c>
      <c r="M20" s="25"/>
      <c r="O20" s="25"/>
    </row>
    <row r="21" ht="22.5" customHeight="1">
      <c r="A21" s="16" t="str">
        <f>IFNA(VLOOKUP(B21,Sprites!$A$2:$B$1200,2,FALSE),"")</f>
        <v/>
      </c>
      <c r="B21" s="17" t="s">
        <v>122</v>
      </c>
      <c r="C21" s="8">
        <v>253.0</v>
      </c>
      <c r="D21" s="8" t="s">
        <v>65</v>
      </c>
      <c r="E21" s="18">
        <v>413.0</v>
      </c>
      <c r="F21" s="8">
        <v>4.0</v>
      </c>
      <c r="G21" s="8" t="s">
        <v>25</v>
      </c>
      <c r="H21" s="8">
        <v>5.0</v>
      </c>
      <c r="I21" s="19">
        <v>20.0</v>
      </c>
      <c r="M21" s="25"/>
      <c r="O21" s="25"/>
    </row>
    <row r="22" ht="22.5" customHeight="1">
      <c r="A22" s="16" t="str">
        <f>IFNA(VLOOKUP(B22,Sprites!$A$2:$B$1200,2,FALSE),"")</f>
        <v/>
      </c>
      <c r="B22" s="17" t="s">
        <v>363</v>
      </c>
      <c r="C22" s="8">
        <v>360.0</v>
      </c>
      <c r="D22" s="8" t="s">
        <v>131</v>
      </c>
      <c r="E22" s="18">
        <v>482.0</v>
      </c>
      <c r="F22" s="8">
        <v>7.0</v>
      </c>
      <c r="H22" s="8">
        <v>5.0</v>
      </c>
      <c r="I22" s="19">
        <v>21.0</v>
      </c>
      <c r="M22" s="25"/>
      <c r="O22" s="25"/>
    </row>
    <row r="23" ht="22.5" customHeight="1">
      <c r="A23" s="16" t="str">
        <f>IFNA(VLOOKUP(B23,Sprites!$A$2:$B$1200,2,FALSE),"")</f>
        <v/>
      </c>
      <c r="B23" s="17" t="s">
        <v>364</v>
      </c>
      <c r="C23" s="8">
        <v>254.0</v>
      </c>
      <c r="D23" s="8" t="s">
        <v>61</v>
      </c>
      <c r="E23" s="18">
        <v>489.0</v>
      </c>
      <c r="F23" s="8">
        <v>3.0</v>
      </c>
      <c r="H23" s="8">
        <v>4.0</v>
      </c>
      <c r="I23" s="19">
        <v>22.0</v>
      </c>
      <c r="M23" s="25"/>
      <c r="O23" s="25"/>
    </row>
    <row r="24" ht="22.5" customHeight="1">
      <c r="A24" s="16" t="str">
        <f>IFNA(VLOOKUP(B24,Sprites!$A$2:$B$1200,2,FALSE),"")</f>
        <v/>
      </c>
      <c r="B24" s="17" t="s">
        <v>247</v>
      </c>
      <c r="C24" s="8">
        <v>265.0</v>
      </c>
      <c r="D24" s="8" t="s">
        <v>217</v>
      </c>
      <c r="E24" s="18">
        <v>355.0</v>
      </c>
      <c r="F24" s="8">
        <v>2.0</v>
      </c>
      <c r="G24" s="8" t="s">
        <v>32</v>
      </c>
      <c r="H24" s="8">
        <v>4.0</v>
      </c>
      <c r="I24" s="19">
        <v>23.0</v>
      </c>
      <c r="M24" s="25"/>
      <c r="O24" s="25"/>
    </row>
    <row r="25" ht="22.5" customHeight="1">
      <c r="A25" s="16" t="str">
        <f>IFNA(VLOOKUP(B25,Sprites!$A$2:$B$1200,2,FALSE),"")</f>
        <v/>
      </c>
      <c r="B25" s="17" t="s">
        <v>248</v>
      </c>
      <c r="C25" s="8">
        <v>278.0</v>
      </c>
      <c r="D25" s="8" t="s">
        <v>221</v>
      </c>
      <c r="E25" s="18">
        <v>382.0</v>
      </c>
      <c r="F25" s="8">
        <v>2.0</v>
      </c>
      <c r="G25" s="8" t="s">
        <v>32</v>
      </c>
      <c r="H25" s="8">
        <v>4.0</v>
      </c>
      <c r="I25" s="19">
        <v>24.0</v>
      </c>
      <c r="M25" s="25"/>
      <c r="O25" s="25"/>
    </row>
    <row r="26" ht="22.5" customHeight="1">
      <c r="A26" s="16" t="str">
        <f>IFNA(VLOOKUP(B26,Sprites!$A$2:$B$1200,2,FALSE),"")</f>
        <v/>
      </c>
      <c r="B26" s="17" t="s">
        <v>365</v>
      </c>
      <c r="C26" s="8">
        <v>240.0</v>
      </c>
      <c r="D26" s="8" t="s">
        <v>65</v>
      </c>
      <c r="E26" s="18">
        <v>420.0</v>
      </c>
      <c r="F26" s="8">
        <v>4.0</v>
      </c>
      <c r="H26" s="8">
        <v>4.0</v>
      </c>
      <c r="I26" s="19">
        <v>25.0</v>
      </c>
      <c r="M26" s="25"/>
      <c r="O26" s="25"/>
    </row>
    <row r="27" ht="22.5" customHeight="1">
      <c r="A27" s="16" t="str">
        <f>IFNA(VLOOKUP(B27,Sprites!$A$2:$B$1200,2,FALSE),"")</f>
        <v/>
      </c>
      <c r="B27" s="17" t="s">
        <v>250</v>
      </c>
      <c r="C27" s="8">
        <v>310.0</v>
      </c>
      <c r="D27" s="8" t="s">
        <v>80</v>
      </c>
      <c r="E27" s="18">
        <v>470.0</v>
      </c>
      <c r="F27" s="8">
        <v>6.0</v>
      </c>
      <c r="G27" s="8" t="s">
        <v>32</v>
      </c>
      <c r="H27" s="8">
        <v>4.0</v>
      </c>
      <c r="I27" s="19">
        <v>26.0</v>
      </c>
      <c r="M27" s="25"/>
      <c r="O27" s="25"/>
    </row>
    <row r="28" ht="22.5" customHeight="1">
      <c r="A28" s="16" t="str">
        <f>IFNA(VLOOKUP(B28,Sprites!$A$2:$B$1200,2,FALSE),"")</f>
        <v/>
      </c>
      <c r="B28" s="17" t="s">
        <v>170</v>
      </c>
      <c r="C28" s="8">
        <v>289.0</v>
      </c>
      <c r="D28" s="8" t="s">
        <v>69</v>
      </c>
      <c r="E28" s="18">
        <v>481.0</v>
      </c>
      <c r="F28" s="8">
        <v>6.0</v>
      </c>
      <c r="G28" s="8" t="s">
        <v>31</v>
      </c>
      <c r="H28" s="8">
        <v>4.0</v>
      </c>
      <c r="I28" s="19">
        <v>27.0</v>
      </c>
      <c r="M28" s="25"/>
      <c r="O28" s="25"/>
    </row>
    <row r="29" ht="22.5" customHeight="1">
      <c r="A29" s="16" t="str">
        <f>IFNA(VLOOKUP(B29,Sprites!$A$2:$B$1200,2,FALSE),"")</f>
        <v/>
      </c>
      <c r="B29" s="17" t="s">
        <v>124</v>
      </c>
      <c r="C29" s="8">
        <v>240.0</v>
      </c>
      <c r="D29" s="8" t="s">
        <v>65</v>
      </c>
      <c r="E29" s="18">
        <v>420.0</v>
      </c>
      <c r="F29" s="8">
        <v>4.0</v>
      </c>
      <c r="G29" s="8" t="s">
        <v>25</v>
      </c>
      <c r="H29" s="8">
        <v>4.0</v>
      </c>
      <c r="I29" s="19">
        <v>28.0</v>
      </c>
      <c r="M29" s="25"/>
      <c r="O29" s="25"/>
    </row>
    <row r="30" ht="22.5" customHeight="1">
      <c r="A30" s="16" t="str">
        <f>IFNA(VLOOKUP(B30,Sprites!$A$2:$B$1200,2,FALSE),"")</f>
        <v/>
      </c>
      <c r="B30" s="17" t="s">
        <v>366</v>
      </c>
      <c r="C30" s="8">
        <v>237.0</v>
      </c>
      <c r="D30" s="8" t="s">
        <v>65</v>
      </c>
      <c r="E30" s="18">
        <v>423.0</v>
      </c>
      <c r="F30" s="8">
        <v>4.0</v>
      </c>
      <c r="H30" s="8">
        <v>4.0</v>
      </c>
      <c r="I30" s="19">
        <v>29.0</v>
      </c>
      <c r="M30" s="25"/>
      <c r="O30" s="25"/>
    </row>
    <row r="31" ht="22.5" customHeight="1">
      <c r="A31" s="16" t="str">
        <f>IFNA(VLOOKUP(B31,Sprites!$A$2:$B$1200,2,FALSE),"")</f>
        <v/>
      </c>
      <c r="B31" s="17" t="s">
        <v>367</v>
      </c>
      <c r="C31" s="8">
        <v>280.0</v>
      </c>
      <c r="D31" s="8" t="s">
        <v>61</v>
      </c>
      <c r="E31" s="18">
        <v>440.0</v>
      </c>
      <c r="F31" s="8">
        <v>3.0</v>
      </c>
      <c r="H31" s="8">
        <v>3.0</v>
      </c>
      <c r="I31" s="19">
        <v>30.0</v>
      </c>
      <c r="M31" s="25"/>
      <c r="O31" s="25"/>
    </row>
    <row r="32" ht="22.5" customHeight="1">
      <c r="A32" s="16" t="str">
        <f>IFNA(VLOOKUP(B32,Sprites!$A$2:$B$1200,2,FALSE),"")</f>
        <v/>
      </c>
      <c r="B32" s="17" t="s">
        <v>368</v>
      </c>
      <c r="C32" s="8">
        <v>290.0</v>
      </c>
      <c r="D32" s="8" t="s">
        <v>55</v>
      </c>
      <c r="E32" s="18">
        <v>485.0</v>
      </c>
      <c r="F32" s="8">
        <v>5.0</v>
      </c>
      <c r="G32" s="8" t="s">
        <v>28</v>
      </c>
      <c r="H32" s="8">
        <v>3.0</v>
      </c>
      <c r="I32" s="19">
        <v>31.0</v>
      </c>
      <c r="M32" s="25"/>
      <c r="O32" s="25"/>
    </row>
    <row r="33" ht="22.5" customHeight="1">
      <c r="A33" s="16" t="str">
        <f>IFNA(VLOOKUP(B33,Sprites!$A$2:$B$1200,2,FALSE),"")</f>
        <v/>
      </c>
      <c r="B33" s="17" t="s">
        <v>369</v>
      </c>
      <c r="C33" s="8">
        <v>255.0</v>
      </c>
      <c r="D33" s="8" t="s">
        <v>65</v>
      </c>
      <c r="E33" s="18">
        <v>420.0</v>
      </c>
      <c r="F33" s="8">
        <v>4.0</v>
      </c>
      <c r="H33" s="8">
        <v>3.0</v>
      </c>
      <c r="I33" s="19">
        <v>32.0</v>
      </c>
      <c r="M33" s="25"/>
      <c r="O33" s="25"/>
    </row>
    <row r="34" ht="22.5" customHeight="1">
      <c r="A34" s="16" t="str">
        <f>IFNA(VLOOKUP(B34,Sprites!$A$2:$B$1200,2,FALSE),"")</f>
        <v/>
      </c>
      <c r="B34" s="17" t="s">
        <v>254</v>
      </c>
      <c r="C34" s="8">
        <v>377.0</v>
      </c>
      <c r="D34" s="8" t="s">
        <v>113</v>
      </c>
      <c r="E34" s="18">
        <v>477.0</v>
      </c>
      <c r="F34" s="8">
        <v>8.0</v>
      </c>
      <c r="G34" s="8" t="s">
        <v>32</v>
      </c>
      <c r="H34" s="8">
        <v>3.0</v>
      </c>
      <c r="I34" s="19">
        <v>33.0</v>
      </c>
      <c r="M34" s="25"/>
      <c r="O34" s="25"/>
    </row>
    <row r="35" ht="22.5" customHeight="1">
      <c r="A35" s="16" t="str">
        <f>IFNA(VLOOKUP(B35,Sprites!$A$2:$B$1200,2,FALSE),"")</f>
        <v/>
      </c>
      <c r="B35" s="17" t="s">
        <v>257</v>
      </c>
      <c r="C35" s="8">
        <v>310.0</v>
      </c>
      <c r="D35" s="8" t="s">
        <v>117</v>
      </c>
      <c r="E35" s="18">
        <v>490.0</v>
      </c>
      <c r="F35" s="8">
        <v>6.0</v>
      </c>
      <c r="G35" s="8" t="s">
        <v>32</v>
      </c>
      <c r="H35" s="8">
        <v>3.0</v>
      </c>
      <c r="I35" s="19">
        <v>34.0</v>
      </c>
      <c r="M35" s="25"/>
      <c r="O35" s="25"/>
    </row>
    <row r="36" ht="22.5" customHeight="1">
      <c r="A36" s="16" t="str">
        <f>IFNA(VLOOKUP(B36,Sprites!$A$2:$B$1200,2,FALSE),"")</f>
        <v/>
      </c>
      <c r="B36" s="17" t="s">
        <v>370</v>
      </c>
      <c r="C36" s="8">
        <v>305.0</v>
      </c>
      <c r="D36" s="8" t="s">
        <v>77</v>
      </c>
      <c r="E36" s="18">
        <v>470.0</v>
      </c>
      <c r="F36" s="8">
        <v>4.0</v>
      </c>
      <c r="H36" s="8">
        <v>3.0</v>
      </c>
      <c r="I36" s="19">
        <v>35.0</v>
      </c>
      <c r="M36" s="25"/>
      <c r="O36" s="25"/>
    </row>
    <row r="37" ht="22.5" customHeight="1">
      <c r="A37" s="16" t="str">
        <f>IFNA(VLOOKUP(B37,Sprites!$A$2:$B$1200,2,FALSE),"")</f>
        <v/>
      </c>
      <c r="B37" s="17" t="s">
        <v>255</v>
      </c>
      <c r="C37" s="8">
        <v>270.0</v>
      </c>
      <c r="D37" s="8" t="s">
        <v>73</v>
      </c>
      <c r="E37" s="18">
        <v>430.0</v>
      </c>
      <c r="F37" s="8">
        <v>4.0</v>
      </c>
      <c r="G37" s="8" t="s">
        <v>32</v>
      </c>
      <c r="H37" s="8">
        <v>3.0</v>
      </c>
      <c r="I37" s="19">
        <v>36.0</v>
      </c>
      <c r="M37" s="25"/>
      <c r="O37" s="25"/>
    </row>
    <row r="38" ht="22.5" customHeight="1">
      <c r="A38" s="16" t="str">
        <f>IFNA(VLOOKUP(B38,Sprites!$A$2:$B$1200,2,FALSE),"")</f>
        <v/>
      </c>
      <c r="B38" s="17" t="s">
        <v>371</v>
      </c>
      <c r="C38" s="8">
        <v>260.0</v>
      </c>
      <c r="D38" s="8" t="s">
        <v>69</v>
      </c>
      <c r="E38" s="18">
        <v>400.0</v>
      </c>
      <c r="F38" s="8">
        <v>7.0</v>
      </c>
      <c r="H38" s="8">
        <v>3.0</v>
      </c>
      <c r="I38" s="19">
        <v>37.0</v>
      </c>
      <c r="M38" s="25"/>
      <c r="O38" s="25"/>
    </row>
    <row r="39" ht="22.5" customHeight="1">
      <c r="A39" s="16" t="str">
        <f>IFNA(VLOOKUP(B39,Sprites!$A$2:$B$1200,2,FALSE),"")</f>
        <v/>
      </c>
      <c r="B39" s="17" t="s">
        <v>256</v>
      </c>
      <c r="C39" s="8">
        <v>262.0</v>
      </c>
      <c r="D39" s="8" t="s">
        <v>65</v>
      </c>
      <c r="E39" s="18">
        <v>442.0</v>
      </c>
      <c r="F39" s="8">
        <v>3.0</v>
      </c>
      <c r="G39" s="8" t="s">
        <v>32</v>
      </c>
      <c r="H39" s="8">
        <v>3.0</v>
      </c>
      <c r="I39" s="19">
        <v>38.0</v>
      </c>
      <c r="M39" s="25"/>
      <c r="O39" s="25"/>
    </row>
    <row r="40" ht="22.5" customHeight="1">
      <c r="A40" s="16" t="str">
        <f>IFNA(VLOOKUP(B40,Sprites!$A$2:$B$1200,2,FALSE),"")</f>
        <v/>
      </c>
      <c r="B40" s="17" t="s">
        <v>372</v>
      </c>
      <c r="C40" s="8">
        <v>290.0</v>
      </c>
      <c r="D40" s="8" t="s">
        <v>55</v>
      </c>
      <c r="E40" s="18">
        <v>440.0</v>
      </c>
      <c r="F40" s="8">
        <v>4.0</v>
      </c>
      <c r="H40" s="8">
        <v>3.0</v>
      </c>
      <c r="I40" s="19">
        <v>39.0</v>
      </c>
      <c r="M40" s="25"/>
      <c r="O40" s="25"/>
    </row>
    <row r="41" ht="22.5" customHeight="1">
      <c r="A41" s="16" t="str">
        <f>IFNA(VLOOKUP(B41,Sprites!$A$2:$B$1200,2,FALSE),"")</f>
        <v/>
      </c>
      <c r="B41" s="17" t="s">
        <v>373</v>
      </c>
      <c r="C41" s="8">
        <v>300.0</v>
      </c>
      <c r="D41" s="8" t="s">
        <v>69</v>
      </c>
      <c r="E41" s="18">
        <v>470.0</v>
      </c>
      <c r="F41" s="8">
        <v>5.0</v>
      </c>
      <c r="H41" s="8">
        <v>3.0</v>
      </c>
      <c r="I41" s="19">
        <v>40.0</v>
      </c>
      <c r="M41" s="25"/>
      <c r="O41" s="25"/>
    </row>
    <row r="42" ht="22.5" customHeight="1">
      <c r="A42" s="16" t="str">
        <f>IFNA(VLOOKUP(B42,Sprites!$A$2:$B$1200,2,FALSE),"")</f>
        <v/>
      </c>
      <c r="B42" s="17" t="s">
        <v>374</v>
      </c>
      <c r="C42" s="8">
        <v>360.0</v>
      </c>
      <c r="D42" s="8" t="s">
        <v>113</v>
      </c>
      <c r="E42" s="18">
        <v>460.0</v>
      </c>
      <c r="F42" s="8">
        <v>6.0</v>
      </c>
      <c r="H42" s="8">
        <v>3.0</v>
      </c>
      <c r="I42" s="19">
        <v>41.0</v>
      </c>
      <c r="M42" s="25"/>
      <c r="O42" s="25"/>
    </row>
    <row r="43" ht="22.5" customHeight="1">
      <c r="A43" s="16" t="str">
        <f>IFNA(VLOOKUP(B43,Sprites!$A$2:$B$1200,2,FALSE),"")</f>
        <v/>
      </c>
      <c r="B43" s="17" t="s">
        <v>260</v>
      </c>
      <c r="C43" s="8">
        <v>251.0</v>
      </c>
      <c r="D43" s="8" t="s">
        <v>61</v>
      </c>
      <c r="E43" s="18">
        <v>349.0</v>
      </c>
      <c r="F43" s="8">
        <v>2.0</v>
      </c>
      <c r="G43" s="8" t="s">
        <v>32</v>
      </c>
      <c r="H43" s="8">
        <v>2.0</v>
      </c>
      <c r="I43" s="19">
        <v>42.0</v>
      </c>
      <c r="M43" s="25"/>
      <c r="O43" s="25"/>
    </row>
    <row r="44" ht="22.5" customHeight="1">
      <c r="A44" s="16" t="str">
        <f>IFNA(VLOOKUP(B44,Sprites!$A$2:$B$1200,2,FALSE),"")</f>
        <v/>
      </c>
      <c r="B44" s="17" t="s">
        <v>375</v>
      </c>
      <c r="C44" s="8">
        <v>310.0</v>
      </c>
      <c r="D44" s="8" t="s">
        <v>120</v>
      </c>
      <c r="E44" s="18">
        <v>452.0</v>
      </c>
      <c r="F44" s="8">
        <v>7.0</v>
      </c>
      <c r="H44" s="8">
        <v>2.0</v>
      </c>
      <c r="I44" s="19">
        <v>43.0</v>
      </c>
      <c r="M44" s="25"/>
      <c r="O44" s="25"/>
    </row>
    <row r="45" ht="22.5" customHeight="1">
      <c r="A45" s="16" t="str">
        <f>IFNA(VLOOKUP(B45,Sprites!$A$2:$B$1200,2,FALSE),"")</f>
        <v/>
      </c>
      <c r="B45" s="17" t="s">
        <v>376</v>
      </c>
      <c r="C45" s="8">
        <v>253.0</v>
      </c>
      <c r="D45" s="8" t="s">
        <v>65</v>
      </c>
      <c r="E45" s="18">
        <v>418.0</v>
      </c>
      <c r="F45" s="8">
        <v>3.0</v>
      </c>
      <c r="H45" s="8">
        <v>2.0</v>
      </c>
      <c r="I45" s="19">
        <v>44.0</v>
      </c>
      <c r="M45" s="25"/>
      <c r="O45" s="25"/>
    </row>
    <row r="46" ht="22.5" customHeight="1">
      <c r="A46" s="16" t="str">
        <f>IFNA(VLOOKUP(B46,Sprites!$A$2:$B$1200,2,FALSE),"")</f>
        <v/>
      </c>
      <c r="B46" s="17" t="s">
        <v>377</v>
      </c>
      <c r="C46" s="8">
        <v>220.0</v>
      </c>
      <c r="D46" s="8" t="s">
        <v>159</v>
      </c>
      <c r="E46" s="18">
        <v>450.0</v>
      </c>
      <c r="F46" s="8">
        <v>2.0</v>
      </c>
      <c r="H46" s="8">
        <v>2.0</v>
      </c>
      <c r="I46" s="19">
        <v>45.0</v>
      </c>
      <c r="M46" s="25"/>
      <c r="O46" s="25"/>
    </row>
    <row r="47" ht="22.5" customHeight="1">
      <c r="A47" s="16" t="str">
        <f>IFNA(VLOOKUP(B47,Sprites!$A$2:$B$1200,2,FALSE),"")</f>
        <v/>
      </c>
      <c r="B47" s="17" t="s">
        <v>378</v>
      </c>
      <c r="C47" s="8">
        <v>270.0</v>
      </c>
      <c r="D47" s="8" t="s">
        <v>87</v>
      </c>
      <c r="E47" s="18">
        <v>490.0</v>
      </c>
      <c r="F47" s="8">
        <v>3.0</v>
      </c>
      <c r="H47" s="8">
        <v>2.0</v>
      </c>
      <c r="I47" s="19">
        <v>46.0</v>
      </c>
      <c r="M47" s="25"/>
      <c r="O47" s="25"/>
    </row>
    <row r="48" ht="22.5" customHeight="1">
      <c r="A48" s="16" t="str">
        <f>IFNA(VLOOKUP(B48,Sprites!$A$2:$B$1200,2,FALSE),"")</f>
        <v/>
      </c>
      <c r="B48" s="17" t="s">
        <v>379</v>
      </c>
      <c r="C48" s="8">
        <v>275.0</v>
      </c>
      <c r="D48" s="8" t="s">
        <v>87</v>
      </c>
      <c r="E48" s="18">
        <v>460.0</v>
      </c>
      <c r="F48" s="8">
        <v>5.0</v>
      </c>
      <c r="H48" s="8">
        <v>2.0</v>
      </c>
      <c r="I48" s="19">
        <v>47.0</v>
      </c>
      <c r="M48" s="25"/>
      <c r="O48" s="25"/>
    </row>
    <row r="49" ht="22.5" customHeight="1">
      <c r="A49" s="16" t="str">
        <f>IFNA(VLOOKUP(B49,Sprites!$A$2:$B$1200,2,FALSE),"")</f>
        <v/>
      </c>
      <c r="B49" s="17" t="s">
        <v>263</v>
      </c>
      <c r="C49" s="8">
        <v>262.0</v>
      </c>
      <c r="D49" s="8" t="s">
        <v>65</v>
      </c>
      <c r="E49" s="18">
        <v>442.0</v>
      </c>
      <c r="F49" s="8">
        <v>4.0</v>
      </c>
      <c r="G49" s="8" t="s">
        <v>32</v>
      </c>
      <c r="H49" s="8">
        <v>2.0</v>
      </c>
      <c r="I49" s="19">
        <v>48.0</v>
      </c>
      <c r="M49" s="25"/>
      <c r="O49" s="25"/>
    </row>
    <row r="50" ht="22.5" customHeight="1">
      <c r="A50" s="16" t="str">
        <f>IFNA(VLOOKUP(B50,Sprites!$A$2:$B$1200,2,FALSE),"")</f>
        <v/>
      </c>
      <c r="B50" s="17" t="s">
        <v>380</v>
      </c>
      <c r="C50" s="8">
        <v>240.0</v>
      </c>
      <c r="D50" s="8" t="s">
        <v>65</v>
      </c>
      <c r="E50" s="18">
        <v>360.0</v>
      </c>
      <c r="F50" s="8">
        <v>3.0</v>
      </c>
      <c r="H50" s="8">
        <v>2.0</v>
      </c>
      <c r="I50" s="19">
        <v>49.0</v>
      </c>
      <c r="M50" s="25"/>
      <c r="O50" s="25"/>
    </row>
    <row r="51" ht="22.5" customHeight="1">
      <c r="A51" s="16" t="str">
        <f>IFNA(VLOOKUP(B51,Sprites!$A$2:$B$1200,2,FALSE),"")</f>
        <v/>
      </c>
      <c r="B51" s="17" t="s">
        <v>314</v>
      </c>
      <c r="C51" s="8">
        <v>260.0</v>
      </c>
      <c r="D51" s="8" t="s">
        <v>77</v>
      </c>
      <c r="E51" s="18">
        <v>354.0</v>
      </c>
      <c r="F51" s="8">
        <v>5.0</v>
      </c>
      <c r="G51" s="8" t="s">
        <v>27</v>
      </c>
      <c r="H51" s="8">
        <v>2.0</v>
      </c>
      <c r="I51" s="19">
        <v>50.0</v>
      </c>
      <c r="M51" s="25"/>
      <c r="O51" s="25"/>
    </row>
    <row r="52" ht="22.5" customHeight="1">
      <c r="A52" s="16" t="str">
        <f>IFNA(VLOOKUP(B52,Sprites!$A$2:$B$1200,2,FALSE),"")</f>
        <v/>
      </c>
      <c r="B52" s="17" t="s">
        <v>262</v>
      </c>
      <c r="C52" s="8">
        <v>264.0</v>
      </c>
      <c r="D52" s="8" t="s">
        <v>94</v>
      </c>
      <c r="E52" s="18">
        <v>358.0</v>
      </c>
      <c r="F52" s="8">
        <v>3.0</v>
      </c>
      <c r="G52" s="8" t="s">
        <v>32</v>
      </c>
      <c r="H52" s="8">
        <v>2.0</v>
      </c>
      <c r="I52" s="19">
        <v>51.0</v>
      </c>
      <c r="M52" s="25"/>
      <c r="O52" s="25"/>
    </row>
    <row r="53" ht="22.5" customHeight="1">
      <c r="A53" s="16" t="str">
        <f>IFNA(VLOOKUP(B53,Sprites!$A$2:$B$1200,2,FALSE),"")</f>
        <v/>
      </c>
      <c r="B53" s="17" t="s">
        <v>194</v>
      </c>
      <c r="C53" s="8">
        <v>190.0</v>
      </c>
      <c r="D53" s="8" t="s">
        <v>67</v>
      </c>
      <c r="E53" s="18">
        <v>250.0</v>
      </c>
      <c r="F53" s="8">
        <v>3.0</v>
      </c>
      <c r="G53" s="8" t="s">
        <v>37</v>
      </c>
      <c r="H53" s="8">
        <v>1.0</v>
      </c>
      <c r="I53" s="19">
        <v>52.0</v>
      </c>
      <c r="M53" s="25"/>
      <c r="O53" s="25"/>
    </row>
    <row r="54" ht="22.5" customHeight="1">
      <c r="A54" s="16" t="str">
        <f>IFNA(VLOOKUP(B54,Sprites!$A$2:$B$1200,2,FALSE),"")</f>
        <v/>
      </c>
      <c r="B54" s="17" t="s">
        <v>193</v>
      </c>
      <c r="C54" s="8">
        <v>210.0</v>
      </c>
      <c r="D54" s="8" t="s">
        <v>67</v>
      </c>
      <c r="E54" s="18">
        <v>270.0</v>
      </c>
      <c r="F54" s="8">
        <v>2.0</v>
      </c>
      <c r="G54" s="8" t="s">
        <v>37</v>
      </c>
      <c r="H54" s="8">
        <v>1.0</v>
      </c>
      <c r="I54" s="19">
        <v>53.0</v>
      </c>
      <c r="M54" s="25"/>
      <c r="O54" s="25"/>
    </row>
    <row r="55" ht="22.5" customHeight="1">
      <c r="A55" s="16" t="str">
        <f>IFNA(VLOOKUP(B55,Sprites!$A$2:$B$1200,2,FALSE),"")</f>
        <v/>
      </c>
      <c r="B55" s="17" t="s">
        <v>381</v>
      </c>
      <c r="C55" s="8">
        <v>288.0</v>
      </c>
      <c r="D55" s="8" t="s">
        <v>113</v>
      </c>
      <c r="E55" s="18">
        <v>388.0</v>
      </c>
      <c r="F55" s="8">
        <v>0.0</v>
      </c>
      <c r="H55" s="8">
        <v>1.0</v>
      </c>
      <c r="I55" s="19">
        <v>54.0</v>
      </c>
      <c r="M55" s="25"/>
      <c r="O55" s="25"/>
    </row>
    <row r="56" ht="22.5" customHeight="1">
      <c r="A56" s="16" t="str">
        <f>IFNA(VLOOKUP(B56,Sprites!$A$2:$B$1200,2,FALSE),"")</f>
        <v/>
      </c>
      <c r="B56" s="17" t="s">
        <v>382</v>
      </c>
      <c r="C56" s="8">
        <v>250.0</v>
      </c>
      <c r="D56" s="8" t="s">
        <v>113</v>
      </c>
      <c r="E56" s="18">
        <v>350.0</v>
      </c>
      <c r="F56" s="8">
        <v>0.0</v>
      </c>
      <c r="H56" s="8">
        <v>1.0</v>
      </c>
      <c r="I56" s="19">
        <v>55.0</v>
      </c>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45" t="s">
        <v>40</v>
      </c>
      <c r="B1" s="30" t="s">
        <v>41</v>
      </c>
      <c r="C1" s="30" t="s">
        <v>42</v>
      </c>
      <c r="D1" s="30" t="s">
        <v>43</v>
      </c>
      <c r="E1" s="30" t="s">
        <v>44</v>
      </c>
      <c r="F1" s="30" t="s">
        <v>45</v>
      </c>
      <c r="G1" s="30" t="s">
        <v>46</v>
      </c>
      <c r="H1" s="30" t="s">
        <v>47</v>
      </c>
      <c r="I1" s="31" t="s">
        <v>48</v>
      </c>
      <c r="J1" s="14" t="s">
        <v>49</v>
      </c>
      <c r="K1" s="15">
        <v>33.0</v>
      </c>
    </row>
    <row r="2" ht="22.5" customHeight="1">
      <c r="A2" s="16" t="str">
        <f>IFNA(VLOOKUP(B2,Sprites!$A$2:$B$1200,2,FALSE),"")</f>
        <v/>
      </c>
      <c r="B2" s="17" t="s">
        <v>107</v>
      </c>
      <c r="C2" s="8">
        <v>430.0</v>
      </c>
      <c r="D2" s="8" t="s">
        <v>55</v>
      </c>
      <c r="E2" s="8">
        <v>510.0</v>
      </c>
      <c r="F2" s="8">
        <v>5.0</v>
      </c>
      <c r="G2" s="8" t="s">
        <v>25</v>
      </c>
      <c r="H2" s="8">
        <v>9.0</v>
      </c>
      <c r="I2" s="19">
        <v>1.0</v>
      </c>
      <c r="J2" s="14" t="s">
        <v>19</v>
      </c>
      <c r="K2" s="20">
        <f>SUM(C2:C1000)/K1</f>
        <v>308.1818182</v>
      </c>
    </row>
    <row r="3" ht="22.5" customHeight="1">
      <c r="A3" s="16" t="str">
        <f>IFNA(VLOOKUP(B3,Sprites!$A$2:$B$1200,2,FALSE),"")</f>
        <v/>
      </c>
      <c r="B3" s="17" t="s">
        <v>383</v>
      </c>
      <c r="C3" s="8">
        <v>420.0</v>
      </c>
      <c r="D3" s="8" t="s">
        <v>384</v>
      </c>
      <c r="E3" s="8">
        <v>540.0</v>
      </c>
      <c r="F3" s="8">
        <v>6.0</v>
      </c>
      <c r="H3" s="8">
        <v>8.0</v>
      </c>
      <c r="I3" s="19">
        <v>2.0</v>
      </c>
      <c r="J3" s="14" t="s">
        <v>20</v>
      </c>
      <c r="K3" s="20">
        <f>SUM(H2:H1000)/K1</f>
        <v>4.515151515</v>
      </c>
    </row>
    <row r="4" ht="22.5" customHeight="1">
      <c r="A4" s="16" t="str">
        <f>IFNA(VLOOKUP(B4,Sprites!$A$2:$B$1200,2,FALSE),"")</f>
        <v/>
      </c>
      <c r="B4" s="17" t="s">
        <v>287</v>
      </c>
      <c r="C4" s="8">
        <v>318.0</v>
      </c>
      <c r="D4" s="8" t="s">
        <v>219</v>
      </c>
      <c r="E4" s="8">
        <v>405.0</v>
      </c>
      <c r="F4" s="8">
        <v>4.0</v>
      </c>
      <c r="G4" s="8" t="s">
        <v>27</v>
      </c>
      <c r="H4" s="8">
        <v>8.0</v>
      </c>
      <c r="I4" s="19">
        <v>3.0</v>
      </c>
      <c r="J4" s="14" t="s">
        <v>56</v>
      </c>
      <c r="K4" s="21">
        <f>COUNTIF(D2:D1000, "Roguestone")</f>
        <v>1</v>
      </c>
    </row>
    <row r="5" ht="22.5" customHeight="1">
      <c r="A5" s="16" t="str">
        <f>IFNA(VLOOKUP(B5,Sprites!$A$2:$B$1200,2,FALSE),"")</f>
        <v/>
      </c>
      <c r="B5" s="17" t="s">
        <v>199</v>
      </c>
      <c r="C5" s="8">
        <v>430.0</v>
      </c>
      <c r="D5" s="8" t="s">
        <v>69</v>
      </c>
      <c r="E5" s="8">
        <v>510.0</v>
      </c>
      <c r="F5" s="8">
        <v>6.0</v>
      </c>
      <c r="G5" s="8" t="s">
        <v>30</v>
      </c>
      <c r="H5" s="8">
        <v>7.0</v>
      </c>
      <c r="I5" s="19">
        <v>4.0</v>
      </c>
      <c r="J5" s="14" t="s">
        <v>58</v>
      </c>
      <c r="K5" s="22">
        <f>K4/K1</f>
        <v>0.0303030303</v>
      </c>
    </row>
    <row r="6" ht="22.5" customHeight="1">
      <c r="A6" s="16" t="str">
        <f>IFNA(VLOOKUP(B6,Sprites!$A$2:$B$1200,2,FALSE),"")</f>
        <v/>
      </c>
      <c r="B6" s="17" t="s">
        <v>385</v>
      </c>
      <c r="C6" s="8">
        <v>335.0</v>
      </c>
      <c r="D6" s="8" t="s">
        <v>90</v>
      </c>
      <c r="E6" s="8">
        <v>515.0</v>
      </c>
      <c r="F6" s="8">
        <v>5.0</v>
      </c>
      <c r="G6" s="8" t="s">
        <v>26</v>
      </c>
      <c r="H6" s="8">
        <v>7.0</v>
      </c>
      <c r="I6" s="19">
        <v>5.0</v>
      </c>
    </row>
    <row r="7" ht="22.5" customHeight="1">
      <c r="A7" s="16" t="str">
        <f>IFNA(VLOOKUP(B7,Sprites!$A$2:$B$1200,2,FALSE),"")</f>
        <v/>
      </c>
      <c r="B7" s="17" t="s">
        <v>297</v>
      </c>
      <c r="C7" s="8">
        <v>320.0</v>
      </c>
      <c r="D7" s="8" t="s">
        <v>94</v>
      </c>
      <c r="E7" s="8">
        <v>395.0</v>
      </c>
      <c r="F7" s="8">
        <v>5.0</v>
      </c>
      <c r="G7" s="8" t="s">
        <v>27</v>
      </c>
      <c r="H7" s="8">
        <v>6.0</v>
      </c>
      <c r="I7" s="19">
        <v>6.0</v>
      </c>
    </row>
    <row r="8" ht="22.5" customHeight="1">
      <c r="A8" s="16" t="str">
        <f>IFNA(VLOOKUP(B8,Sprites!$A$2:$B$1200,2,FALSE),"")</f>
        <v/>
      </c>
      <c r="B8" s="17" t="s">
        <v>298</v>
      </c>
      <c r="C8" s="8">
        <v>300.0</v>
      </c>
      <c r="D8" s="8" t="s">
        <v>94</v>
      </c>
      <c r="E8" s="8">
        <v>390.0</v>
      </c>
      <c r="F8" s="8">
        <v>4.0</v>
      </c>
      <c r="G8" s="8" t="s">
        <v>27</v>
      </c>
      <c r="H8" s="8">
        <v>6.0</v>
      </c>
      <c r="I8" s="19">
        <v>7.0</v>
      </c>
    </row>
    <row r="9" ht="22.5" customHeight="1">
      <c r="A9" s="16" t="str">
        <f>IFNA(VLOOKUP(B9,Sprites!$A$2:$B$1200,2,FALSE),"")</f>
        <v/>
      </c>
      <c r="B9" s="17" t="s">
        <v>158</v>
      </c>
      <c r="C9" s="8">
        <v>242.0</v>
      </c>
      <c r="D9" s="8" t="s">
        <v>159</v>
      </c>
      <c r="E9" s="8">
        <v>502.0</v>
      </c>
      <c r="F9" s="8">
        <v>0.0</v>
      </c>
      <c r="G9" s="8" t="s">
        <v>31</v>
      </c>
      <c r="H9" s="8">
        <v>6.0</v>
      </c>
      <c r="I9" s="19">
        <v>8.0</v>
      </c>
    </row>
    <row r="10" ht="22.5" customHeight="1">
      <c r="A10" s="16" t="str">
        <f>IFNA(VLOOKUP(B10,Sprites!$A$2:$B$1200,2,FALSE),"")</f>
        <v/>
      </c>
      <c r="B10" s="17" t="s">
        <v>299</v>
      </c>
      <c r="C10" s="8">
        <v>280.0</v>
      </c>
      <c r="D10" s="8" t="s">
        <v>67</v>
      </c>
      <c r="E10" s="8">
        <v>400.0</v>
      </c>
      <c r="F10" s="8">
        <v>0.0</v>
      </c>
      <c r="G10" s="8" t="s">
        <v>27</v>
      </c>
      <c r="H10" s="8">
        <v>5.0</v>
      </c>
      <c r="I10" s="19">
        <v>9.0</v>
      </c>
    </row>
    <row r="11" ht="22.5" customHeight="1">
      <c r="A11" s="45" t="s">
        <v>386</v>
      </c>
      <c r="B11" s="17" t="s">
        <v>387</v>
      </c>
      <c r="C11" s="8">
        <v>273.0</v>
      </c>
      <c r="D11" s="8" t="s">
        <v>219</v>
      </c>
      <c r="E11" s="8">
        <v>365.0</v>
      </c>
      <c r="F11" s="8">
        <v>1.0</v>
      </c>
      <c r="H11" s="8">
        <v>5.0</v>
      </c>
      <c r="I11" s="17">
        <v>10.0</v>
      </c>
    </row>
    <row r="12" ht="22.5" customHeight="1">
      <c r="A12" s="16" t="str">
        <f>IFNA(VLOOKUP(B12,Sprites!$A$2:$B$1200,2,FALSE),"")</f>
        <v/>
      </c>
      <c r="B12" s="17" t="s">
        <v>119</v>
      </c>
      <c r="C12" s="8">
        <v>325.0</v>
      </c>
      <c r="D12" s="8" t="s">
        <v>120</v>
      </c>
      <c r="E12" s="8">
        <v>500.0</v>
      </c>
      <c r="F12" s="8">
        <v>8.0</v>
      </c>
      <c r="G12" s="8" t="s">
        <v>25</v>
      </c>
      <c r="H12" s="8">
        <v>5.0</v>
      </c>
      <c r="I12" s="19">
        <v>11.0</v>
      </c>
    </row>
    <row r="13" ht="22.5" customHeight="1">
      <c r="A13" s="16" t="str">
        <f>IFNA(VLOOKUP(B13,Sprites!$A$2:$B$1200,2,FALSE),"")</f>
        <v/>
      </c>
      <c r="B13" s="17" t="s">
        <v>57</v>
      </c>
      <c r="C13" s="8">
        <v>330.0</v>
      </c>
      <c r="D13" s="8" t="s">
        <v>51</v>
      </c>
      <c r="E13" s="8">
        <v>500.0</v>
      </c>
      <c r="F13" s="8">
        <v>11.0</v>
      </c>
      <c r="G13" s="8" t="s">
        <v>39</v>
      </c>
      <c r="H13" s="8">
        <v>5.0</v>
      </c>
      <c r="I13" s="19">
        <v>12.0</v>
      </c>
    </row>
    <row r="14" ht="22.5" customHeight="1">
      <c r="A14" s="16" t="str">
        <f>IFNA(VLOOKUP(B14,Sprites!$A$2:$B$1200,2,FALSE),"")</f>
        <v/>
      </c>
      <c r="B14" s="17" t="s">
        <v>388</v>
      </c>
      <c r="C14" s="8">
        <v>325.0</v>
      </c>
      <c r="D14" s="8" t="s">
        <v>120</v>
      </c>
      <c r="E14" s="8">
        <v>500.0</v>
      </c>
      <c r="F14" s="8">
        <v>8.0</v>
      </c>
      <c r="H14" s="8">
        <v>5.0</v>
      </c>
      <c r="I14" s="19">
        <v>13.0</v>
      </c>
    </row>
    <row r="15" ht="22.5" customHeight="1">
      <c r="A15" s="16" t="str">
        <f>IFNA(VLOOKUP(B15,Sprites!$A$2:$B$1200,2,FALSE),"")</f>
        <v/>
      </c>
      <c r="B15" s="17" t="s">
        <v>389</v>
      </c>
      <c r="C15" s="8">
        <v>340.0</v>
      </c>
      <c r="D15" s="8" t="s">
        <v>117</v>
      </c>
      <c r="E15" s="8">
        <v>490.0</v>
      </c>
      <c r="F15" s="8">
        <v>6.0</v>
      </c>
      <c r="H15" s="8">
        <v>5.0</v>
      </c>
      <c r="I15" s="19">
        <v>14.0</v>
      </c>
    </row>
    <row r="16" ht="22.5" customHeight="1">
      <c r="A16" s="16" t="str">
        <f>IFNA(VLOOKUP(B16,Sprites!$A$2:$B$1200,2,FALSE),"")</f>
        <v/>
      </c>
      <c r="B16" s="17" t="s">
        <v>121</v>
      </c>
      <c r="C16" s="8">
        <v>329.0</v>
      </c>
      <c r="D16" s="8" t="s">
        <v>75</v>
      </c>
      <c r="E16" s="8">
        <v>479.0</v>
      </c>
      <c r="F16" s="8">
        <v>9.0</v>
      </c>
      <c r="G16" s="8" t="s">
        <v>25</v>
      </c>
      <c r="H16" s="8">
        <v>5.0</v>
      </c>
      <c r="I16" s="19">
        <v>15.0</v>
      </c>
    </row>
    <row r="17" ht="22.5" customHeight="1">
      <c r="A17" s="16" t="str">
        <f>IFNA(VLOOKUP(B17,Sprites!$A$2:$B$1200,2,FALSE),"")</f>
        <v/>
      </c>
      <c r="B17" s="17" t="s">
        <v>270</v>
      </c>
      <c r="C17" s="8">
        <v>310.0</v>
      </c>
      <c r="D17" s="8" t="s">
        <v>77</v>
      </c>
      <c r="E17" s="8">
        <v>405.0</v>
      </c>
      <c r="F17" s="8">
        <v>4.0</v>
      </c>
      <c r="G17" s="8" t="s">
        <v>29</v>
      </c>
      <c r="H17" s="8">
        <v>5.0</v>
      </c>
      <c r="I17" s="19">
        <v>16.0</v>
      </c>
    </row>
    <row r="18" ht="22.5" customHeight="1">
      <c r="A18" s="16" t="str">
        <f>IFNA(VLOOKUP(B18,Sprites!$A$2:$B$1200,2,FALSE),"")</f>
        <v/>
      </c>
      <c r="B18" s="17" t="s">
        <v>390</v>
      </c>
      <c r="C18" s="8">
        <v>350.0</v>
      </c>
      <c r="D18" s="8" t="s">
        <v>117</v>
      </c>
      <c r="E18" s="8">
        <v>525.0</v>
      </c>
      <c r="F18" s="8">
        <v>7.0</v>
      </c>
      <c r="G18" s="8" t="s">
        <v>24</v>
      </c>
      <c r="H18" s="8">
        <v>4.0</v>
      </c>
      <c r="I18" s="19">
        <v>17.0</v>
      </c>
    </row>
    <row r="19" ht="22.5" customHeight="1">
      <c r="A19" s="16" t="str">
        <f>IFNA(VLOOKUP(B19,Sprites!$A$2:$B$1200,2,FALSE),"")</f>
        <v/>
      </c>
      <c r="B19" s="17" t="s">
        <v>391</v>
      </c>
      <c r="C19" s="8">
        <v>320.0</v>
      </c>
      <c r="D19" s="8" t="s">
        <v>75</v>
      </c>
      <c r="E19" s="8">
        <v>494.0</v>
      </c>
      <c r="F19" s="8">
        <v>5.0</v>
      </c>
      <c r="G19" s="8" t="s">
        <v>26</v>
      </c>
      <c r="H19" s="8">
        <v>4.0</v>
      </c>
      <c r="I19" s="19">
        <v>18.0</v>
      </c>
    </row>
    <row r="20" ht="22.5" customHeight="1">
      <c r="A20" s="16" t="str">
        <f>IFNA(VLOOKUP(B20,Sprites!$A$2:$B$1200,2,FALSE),"")</f>
        <v/>
      </c>
      <c r="B20" s="17" t="s">
        <v>392</v>
      </c>
      <c r="C20" s="8">
        <v>300.0</v>
      </c>
      <c r="D20" s="8" t="s">
        <v>131</v>
      </c>
      <c r="E20" s="8">
        <v>500.0</v>
      </c>
      <c r="F20" s="8">
        <v>7.0</v>
      </c>
      <c r="G20" s="8" t="s">
        <v>36</v>
      </c>
      <c r="H20" s="8">
        <v>4.0</v>
      </c>
      <c r="I20" s="19">
        <v>19.0</v>
      </c>
    </row>
    <row r="21" ht="22.5" customHeight="1">
      <c r="A21" s="16" t="str">
        <f>IFNA(VLOOKUP(B21,Sprites!$A$2:$B$1200,2,FALSE),"")</f>
        <v/>
      </c>
      <c r="B21" s="17" t="s">
        <v>393</v>
      </c>
      <c r="C21" s="8">
        <v>329.0</v>
      </c>
      <c r="D21" s="8" t="s">
        <v>82</v>
      </c>
      <c r="E21" s="8">
        <v>474.0</v>
      </c>
      <c r="F21" s="8">
        <v>9.0</v>
      </c>
      <c r="H21" s="8">
        <v>4.0</v>
      </c>
      <c r="I21" s="19">
        <v>20.0</v>
      </c>
    </row>
    <row r="22" ht="22.5" customHeight="1">
      <c r="A22" s="16" t="str">
        <f>IFNA(VLOOKUP(B22,Sprites!$A$2:$B$1200,2,FALSE),"")</f>
        <v/>
      </c>
      <c r="B22" s="17" t="s">
        <v>237</v>
      </c>
      <c r="C22" s="8">
        <v>320.0</v>
      </c>
      <c r="D22" s="8" t="s">
        <v>53</v>
      </c>
      <c r="E22" s="8">
        <v>480.0</v>
      </c>
      <c r="F22" s="8">
        <v>5.0</v>
      </c>
      <c r="G22" s="8" t="s">
        <v>22</v>
      </c>
      <c r="H22" s="8">
        <v>4.0</v>
      </c>
      <c r="I22" s="19">
        <v>21.0</v>
      </c>
    </row>
    <row r="23" ht="22.5" customHeight="1">
      <c r="A23" s="16" t="str">
        <f>IFNA(VLOOKUP(B23,Sprites!$A$2:$B$1200,2,FALSE),"")</f>
        <v/>
      </c>
      <c r="B23" s="17" t="s">
        <v>394</v>
      </c>
      <c r="C23" s="8">
        <v>305.0</v>
      </c>
      <c r="D23" s="8" t="s">
        <v>120</v>
      </c>
      <c r="E23" s="8">
        <v>495.0</v>
      </c>
      <c r="F23" s="8">
        <v>6.0</v>
      </c>
      <c r="G23" s="8" t="s">
        <v>26</v>
      </c>
      <c r="H23" s="8">
        <v>4.0</v>
      </c>
      <c r="I23" s="19">
        <v>22.0</v>
      </c>
    </row>
    <row r="24" ht="22.5" customHeight="1">
      <c r="A24" s="16" t="str">
        <f>IFNA(VLOOKUP(B24,Sprites!$A$2:$B$1200,2,FALSE),"")</f>
        <v/>
      </c>
      <c r="B24" s="17" t="s">
        <v>210</v>
      </c>
      <c r="C24" s="8">
        <v>300.0</v>
      </c>
      <c r="D24" s="8" t="s">
        <v>208</v>
      </c>
      <c r="E24" s="8">
        <v>490.0</v>
      </c>
      <c r="F24" s="8">
        <v>7.0</v>
      </c>
      <c r="G24" s="8" t="s">
        <v>30</v>
      </c>
      <c r="H24" s="8">
        <v>4.0</v>
      </c>
      <c r="I24" s="19">
        <v>23.0</v>
      </c>
    </row>
    <row r="25" ht="22.5" customHeight="1">
      <c r="A25" s="16" t="str">
        <f>IFNA(VLOOKUP(B25,Sprites!$A$2:$B$1200,2,FALSE),"")</f>
        <v/>
      </c>
      <c r="B25" s="17" t="s">
        <v>72</v>
      </c>
      <c r="C25" s="8">
        <v>250.0</v>
      </c>
      <c r="D25" s="8" t="s">
        <v>73</v>
      </c>
      <c r="E25" s="8">
        <v>400.0</v>
      </c>
      <c r="F25" s="8">
        <v>4.0</v>
      </c>
      <c r="G25" s="8" t="s">
        <v>39</v>
      </c>
      <c r="H25" s="8">
        <v>3.0</v>
      </c>
      <c r="I25" s="19">
        <v>24.0</v>
      </c>
    </row>
    <row r="26" ht="22.5" customHeight="1">
      <c r="A26" s="16" t="str">
        <f>IFNA(VLOOKUP(B26,Sprites!$A$2:$B$1200,2,FALSE),"")</f>
        <v/>
      </c>
      <c r="B26" s="17" t="s">
        <v>78</v>
      </c>
      <c r="C26" s="8">
        <v>260.0</v>
      </c>
      <c r="D26" s="8" t="s">
        <v>73</v>
      </c>
      <c r="E26" s="8">
        <v>360.0</v>
      </c>
      <c r="F26" s="8">
        <v>3.0</v>
      </c>
      <c r="G26" s="8" t="s">
        <v>39</v>
      </c>
      <c r="H26" s="8">
        <v>3.0</v>
      </c>
      <c r="I26" s="19">
        <v>25.0</v>
      </c>
    </row>
    <row r="27" ht="22.5" customHeight="1">
      <c r="A27" s="16" t="str">
        <f>IFNA(VLOOKUP(B27,Sprites!$A$2:$B$1200,2,FALSE),"")</f>
        <v/>
      </c>
      <c r="B27" s="17" t="s">
        <v>368</v>
      </c>
      <c r="C27" s="8">
        <v>290.0</v>
      </c>
      <c r="D27" s="8" t="s">
        <v>55</v>
      </c>
      <c r="E27" s="8">
        <v>485.0</v>
      </c>
      <c r="F27" s="8">
        <v>5.0</v>
      </c>
      <c r="G27" s="8" t="s">
        <v>33</v>
      </c>
      <c r="H27" s="8">
        <v>3.0</v>
      </c>
      <c r="I27" s="19">
        <v>26.0</v>
      </c>
    </row>
    <row r="28" ht="22.5" customHeight="1">
      <c r="A28" s="16" t="str">
        <f>IFNA(VLOOKUP(B28,Sprites!$A$2:$B$1200,2,FALSE),"")</f>
        <v/>
      </c>
      <c r="B28" s="17" t="s">
        <v>79</v>
      </c>
      <c r="C28" s="8">
        <v>305.0</v>
      </c>
      <c r="D28" s="8" t="s">
        <v>80</v>
      </c>
      <c r="E28" s="8">
        <v>450.0</v>
      </c>
      <c r="F28" s="8">
        <v>6.0</v>
      </c>
      <c r="G28" s="8" t="s">
        <v>39</v>
      </c>
      <c r="H28" s="8">
        <v>3.0</v>
      </c>
      <c r="I28" s="19">
        <v>27.0</v>
      </c>
    </row>
    <row r="29" ht="22.5" customHeight="1">
      <c r="A29" s="16" t="str">
        <f>IFNA(VLOOKUP(B29,Sprites!$A$2:$B$1200,2,FALSE),"")</f>
        <v/>
      </c>
      <c r="B29" s="17" t="s">
        <v>395</v>
      </c>
      <c r="C29" s="8">
        <v>288.0</v>
      </c>
      <c r="D29" s="8" t="s">
        <v>73</v>
      </c>
      <c r="E29" s="8">
        <v>448.0</v>
      </c>
      <c r="F29" s="8">
        <v>4.0</v>
      </c>
      <c r="H29" s="8">
        <v>3.0</v>
      </c>
      <c r="I29" s="19">
        <v>28.0</v>
      </c>
    </row>
    <row r="30" ht="22.5" customHeight="1">
      <c r="A30" s="16" t="str">
        <f>IFNA(VLOOKUP(B30,Sprites!$A$2:$B$1200,2,FALSE),"")</f>
        <v/>
      </c>
      <c r="B30" s="17" t="s">
        <v>258</v>
      </c>
      <c r="C30" s="8">
        <v>245.0</v>
      </c>
      <c r="D30" s="8" t="s">
        <v>73</v>
      </c>
      <c r="E30" s="8">
        <v>455.0</v>
      </c>
      <c r="F30" s="8">
        <v>3.0</v>
      </c>
      <c r="G30" s="8" t="s">
        <v>32</v>
      </c>
      <c r="H30" s="8">
        <v>3.0</v>
      </c>
      <c r="I30" s="19">
        <v>29.0</v>
      </c>
    </row>
    <row r="31" ht="22.5" customHeight="1">
      <c r="A31" s="16" t="str">
        <f>IFNA(VLOOKUP(B31,Sprites!$A$2:$B$1200,2,FALSE),"")</f>
        <v/>
      </c>
      <c r="B31" s="17" t="s">
        <v>396</v>
      </c>
      <c r="C31" s="8">
        <v>302.0</v>
      </c>
      <c r="D31" s="8" t="s">
        <v>168</v>
      </c>
      <c r="E31" s="8">
        <v>467.0</v>
      </c>
      <c r="F31" s="8">
        <v>5.0</v>
      </c>
      <c r="H31" s="8">
        <v>2.0</v>
      </c>
      <c r="I31" s="19">
        <v>30.0</v>
      </c>
    </row>
    <row r="32" ht="22.5" customHeight="1">
      <c r="A32" s="16" t="str">
        <f>IFNA(VLOOKUP(B32,Sprites!$A$2:$B$1200,2,FALSE),"")</f>
        <v/>
      </c>
      <c r="B32" s="17" t="s">
        <v>313</v>
      </c>
      <c r="C32" s="8">
        <v>294.0</v>
      </c>
      <c r="D32" s="8" t="s">
        <v>133</v>
      </c>
      <c r="E32" s="8">
        <v>464.0</v>
      </c>
      <c r="F32" s="8">
        <v>7.0</v>
      </c>
      <c r="G32" s="8" t="s">
        <v>27</v>
      </c>
      <c r="H32" s="8">
        <v>2.0</v>
      </c>
      <c r="I32" s="19">
        <v>31.0</v>
      </c>
    </row>
    <row r="33" ht="22.5" customHeight="1">
      <c r="A33" s="16" t="str">
        <f>IFNA(VLOOKUP(B33,Sprites!$A$2:$B$1200,2,FALSE),"")</f>
        <v/>
      </c>
      <c r="B33" s="17" t="s">
        <v>336</v>
      </c>
      <c r="C33" s="8">
        <v>210.0</v>
      </c>
      <c r="D33" s="8" t="s">
        <v>65</v>
      </c>
      <c r="E33" s="8">
        <v>430.0</v>
      </c>
      <c r="F33" s="8">
        <v>2.0</v>
      </c>
      <c r="G33" s="8" t="s">
        <v>38</v>
      </c>
      <c r="H33" s="8">
        <v>1.0</v>
      </c>
      <c r="I33" s="19">
        <v>32.0</v>
      </c>
    </row>
    <row r="34" ht="22.5" customHeight="1">
      <c r="A34" s="16" t="str">
        <f>IFNA(VLOOKUP(B34,Sprites!$A$2:$B$1200,2,FALSE),"")</f>
        <v/>
      </c>
      <c r="B34" s="17" t="s">
        <v>102</v>
      </c>
      <c r="C34" s="8">
        <v>195.0</v>
      </c>
      <c r="D34" s="8" t="s">
        <v>103</v>
      </c>
      <c r="E34" s="8">
        <v>205.0</v>
      </c>
      <c r="F34" s="8">
        <v>1.0</v>
      </c>
      <c r="G34" s="8" t="s">
        <v>39</v>
      </c>
      <c r="H34" s="8">
        <v>1.0</v>
      </c>
      <c r="I34" s="19">
        <v>33.0</v>
      </c>
    </row>
    <row r="35">
      <c r="A35" s="26" t="str">
        <f>IFNA(VLOOKUP(B35,Sprites!$A$2:$B$1200,2,FALSE),"")</f>
        <v/>
      </c>
      <c r="B35" s="14"/>
      <c r="I35" s="14"/>
    </row>
    <row r="36">
      <c r="A36" s="26" t="str">
        <f>IFNA(VLOOKUP(B36,Sprites!$A$2:$B$1200,2,FALSE),"")</f>
        <v/>
      </c>
      <c r="B36" s="23" t="s">
        <v>137</v>
      </c>
      <c r="C36" s="23" t="s">
        <v>138</v>
      </c>
    </row>
    <row r="37">
      <c r="A37" s="26" t="str">
        <f>IFNA(VLOOKUP(B37,Sprites!$A$2:$B$1200,2,FALSE),"")</f>
        <v/>
      </c>
      <c r="B37" s="35">
        <v>46001.0</v>
      </c>
      <c r="C37" s="15" t="s">
        <v>397</v>
      </c>
    </row>
    <row r="38">
      <c r="A38" s="26" t="str">
        <f>IFNA(VLOOKUP(B38,Sprites!$A$2:$B$1200,2,FALSE),"")</f>
        <v/>
      </c>
      <c r="B38" s="35">
        <v>46037.0</v>
      </c>
      <c r="C38" s="15" t="s">
        <v>398</v>
      </c>
      <c r="I38" s="14"/>
    </row>
    <row r="39">
      <c r="A39" s="26" t="str">
        <f>IFNA(VLOOKUP(B39,Sprites!$A$2:$B$1200,2,FALSE),"")</f>
        <v/>
      </c>
      <c r="B39" s="23"/>
      <c r="I39" s="14"/>
    </row>
    <row r="40">
      <c r="A40" s="26" t="str">
        <f>IFNA(VLOOKUP(B40,Sprites!$A$2:$B$1200,2,FALSE),"")</f>
        <v/>
      </c>
      <c r="B40" s="23"/>
      <c r="I40" s="14"/>
    </row>
    <row r="41">
      <c r="A41" s="26" t="str">
        <f>IFNA(VLOOKUP(B41,Sprites!$A$2:$B$1200,2,FALSE),"")</f>
        <v/>
      </c>
      <c r="B41" s="23"/>
      <c r="I41" s="14"/>
    </row>
    <row r="42">
      <c r="A42" s="26" t="str">
        <f>IFNA(VLOOKUP(B42,Sprites!$A$2:$B$1200,2,FALSE),"")</f>
        <v/>
      </c>
      <c r="B42" s="23"/>
      <c r="I42" s="14"/>
    </row>
    <row r="43">
      <c r="A43" s="26" t="str">
        <f>IFNA(VLOOKUP(B43,Sprites!$A$2:$B$1200,2,FALSE),"")</f>
        <v/>
      </c>
      <c r="B43" s="23"/>
      <c r="I43" s="14"/>
    </row>
    <row r="44">
      <c r="A44" s="26" t="str">
        <f>IFNA(VLOOKUP(B44,Sprites!$A$2:$B$1200,2,FALSE),"")</f>
        <v/>
      </c>
      <c r="B44" s="23"/>
      <c r="I44" s="14"/>
    </row>
    <row r="45">
      <c r="A45" s="26" t="str">
        <f>IFNA(VLOOKUP(B45,Sprites!$A$2:$B$1200,2,FALSE),"")</f>
        <v/>
      </c>
      <c r="B45" s="23"/>
      <c r="I45" s="14"/>
    </row>
    <row r="46">
      <c r="A46" s="26" t="str">
        <f>IFNA(VLOOKUP(B46,Sprites!$A$2:$B$1200,2,FALSE),"")</f>
        <v/>
      </c>
      <c r="B46" s="23"/>
      <c r="I46" s="14"/>
    </row>
    <row r="47">
      <c r="A47" s="26" t="str">
        <f>IFNA(VLOOKUP(B47,Sprites!$A$2:$B$1200,2,FALSE),"")</f>
        <v/>
      </c>
      <c r="B47" s="23"/>
      <c r="I47" s="14"/>
    </row>
    <row r="48">
      <c r="A48" s="26" t="str">
        <f>IFNA(VLOOKUP(B48,Sprites!$A$2:$B$1200,2,FALSE),"")</f>
        <v/>
      </c>
      <c r="B48" s="14"/>
      <c r="I48" s="14"/>
    </row>
    <row r="49">
      <c r="A49" s="26" t="str">
        <f>IFNA(VLOOKUP(B49,Sprites!$A$2:$B$1200,2,FALSE),"")</f>
        <v/>
      </c>
      <c r="B49" s="14"/>
      <c r="I49" s="14"/>
    </row>
    <row r="50">
      <c r="A50" s="26" t="str">
        <f>IFNA(VLOOKUP(B50,Sprites!$A$2:$B$1200,2,FALSE),"")</f>
        <v/>
      </c>
      <c r="B50" s="14"/>
      <c r="I50" s="14"/>
    </row>
    <row r="51">
      <c r="A51" s="23"/>
      <c r="B51" s="14"/>
      <c r="I51" s="14"/>
    </row>
    <row r="52">
      <c r="A52" s="23"/>
      <c r="B52" s="14"/>
      <c r="I52" s="14"/>
    </row>
    <row r="53">
      <c r="A53" s="23"/>
      <c r="B53" s="14"/>
      <c r="I53" s="14"/>
    </row>
    <row r="54">
      <c r="A54" s="23"/>
      <c r="B54" s="14"/>
      <c r="I54" s="14"/>
    </row>
    <row r="55">
      <c r="A55" s="23"/>
      <c r="B55" s="14"/>
      <c r="I55" s="14"/>
    </row>
    <row r="56">
      <c r="A56" s="23"/>
      <c r="B56" s="14"/>
      <c r="I56" s="14"/>
    </row>
    <row r="57">
      <c r="A57" s="23"/>
      <c r="B57" s="14"/>
      <c r="I57" s="14"/>
    </row>
    <row r="58">
      <c r="A58" s="23"/>
      <c r="B58" s="14"/>
      <c r="I58" s="14"/>
    </row>
    <row r="59">
      <c r="A59" s="28"/>
      <c r="B59" s="27"/>
      <c r="I59" s="27"/>
    </row>
    <row r="60">
      <c r="A60" s="28"/>
      <c r="B60" s="27"/>
      <c r="I60" s="27"/>
    </row>
    <row r="61">
      <c r="A61" s="28"/>
      <c r="B61" s="27"/>
      <c r="I61" s="27"/>
    </row>
    <row r="62">
      <c r="A62" s="28"/>
      <c r="B62" s="27"/>
      <c r="I62" s="27"/>
    </row>
    <row r="63">
      <c r="A63" s="28"/>
      <c r="B63" s="27"/>
      <c r="I63" s="27"/>
    </row>
    <row r="64">
      <c r="A64" s="28"/>
      <c r="B64" s="27"/>
      <c r="I64" s="27"/>
    </row>
    <row r="65">
      <c r="A65" s="28"/>
      <c r="B65" s="27"/>
      <c r="I65" s="27"/>
    </row>
    <row r="66">
      <c r="A66" s="28"/>
      <c r="B66" s="27"/>
      <c r="I66" s="27"/>
    </row>
    <row r="67">
      <c r="A67" s="28"/>
      <c r="B67" s="27"/>
      <c r="I67" s="27"/>
    </row>
    <row r="68">
      <c r="A68" s="28"/>
      <c r="B68" s="27"/>
      <c r="I68" s="27"/>
    </row>
    <row r="69">
      <c r="A69" s="28"/>
      <c r="B69" s="27"/>
      <c r="I69" s="27"/>
    </row>
    <row r="70">
      <c r="A70" s="28"/>
      <c r="B70" s="27"/>
      <c r="I70" s="27"/>
    </row>
    <row r="71">
      <c r="A71" s="28"/>
      <c r="B71" s="27"/>
      <c r="I71" s="27"/>
    </row>
    <row r="72">
      <c r="A72" s="28"/>
      <c r="B72" s="27"/>
      <c r="I72" s="27"/>
    </row>
    <row r="73">
      <c r="A73" s="28"/>
      <c r="B73" s="27"/>
      <c r="I73" s="27"/>
    </row>
    <row r="74">
      <c r="A74" s="28"/>
      <c r="B74" s="27"/>
      <c r="I74" s="27"/>
    </row>
    <row r="75">
      <c r="A75" s="28"/>
      <c r="B75" s="27"/>
      <c r="I75" s="27"/>
    </row>
    <row r="76">
      <c r="A76" s="28"/>
      <c r="B76" s="27"/>
      <c r="I76" s="27"/>
    </row>
    <row r="77">
      <c r="A77" s="28"/>
      <c r="B77" s="27"/>
      <c r="I77" s="27"/>
    </row>
    <row r="78">
      <c r="A78" s="28"/>
      <c r="B78" s="27"/>
      <c r="I78" s="27"/>
    </row>
    <row r="79">
      <c r="A79" s="28"/>
      <c r="B79" s="27"/>
      <c r="I79" s="27"/>
    </row>
    <row r="80">
      <c r="A80" s="28"/>
      <c r="B80" s="27"/>
      <c r="I80" s="27"/>
    </row>
    <row r="81">
      <c r="A81" s="28"/>
      <c r="B81" s="27"/>
      <c r="I81" s="27"/>
    </row>
    <row r="82">
      <c r="A82" s="28"/>
      <c r="B82" s="27"/>
      <c r="I82" s="27"/>
    </row>
    <row r="83">
      <c r="A83" s="28"/>
      <c r="B83" s="27"/>
      <c r="I83" s="27"/>
    </row>
    <row r="84">
      <c r="A84" s="28"/>
      <c r="B84" s="27"/>
      <c r="I84" s="27"/>
    </row>
    <row r="85">
      <c r="A85" s="28"/>
      <c r="B85" s="27"/>
      <c r="I85" s="27"/>
    </row>
    <row r="86">
      <c r="A86" s="28"/>
      <c r="B86" s="27"/>
      <c r="I86" s="27"/>
    </row>
    <row r="87">
      <c r="A87" s="28"/>
      <c r="B87" s="27"/>
      <c r="I87" s="27"/>
    </row>
    <row r="88">
      <c r="A88" s="28"/>
      <c r="B88" s="27"/>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mergeCells count="2">
    <mergeCell ref="C36:I36"/>
    <mergeCell ref="C37:I37"/>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29.0</v>
      </c>
    </row>
    <row r="2" ht="22.5" customHeight="1">
      <c r="A2" s="16" t="str">
        <f>IFNA(VLOOKUP(B2,Sprites!$A$2:$B$1200,2,FALSE),"")</f>
        <v/>
      </c>
      <c r="B2" s="17" t="s">
        <v>351</v>
      </c>
      <c r="C2" s="8">
        <v>455.0</v>
      </c>
      <c r="D2" s="8" t="s">
        <v>131</v>
      </c>
      <c r="E2" s="18">
        <v>520.0</v>
      </c>
      <c r="F2" s="8">
        <v>6.0</v>
      </c>
      <c r="G2" s="8" t="s">
        <v>33</v>
      </c>
      <c r="H2" s="8">
        <v>9.0</v>
      </c>
      <c r="I2" s="19">
        <v>1.0</v>
      </c>
      <c r="J2" s="14" t="s">
        <v>19</v>
      </c>
      <c r="K2" s="20">
        <f>SUM(C2:C1001)/K1</f>
        <v>306.0344828</v>
      </c>
    </row>
    <row r="3" ht="22.5" customHeight="1">
      <c r="A3" s="16" t="str">
        <f>IFNA(VLOOKUP(B3,Sprites!$A$2:$B$1200,2,FALSE),"")</f>
        <v/>
      </c>
      <c r="B3" s="17" t="s">
        <v>295</v>
      </c>
      <c r="C3" s="8">
        <v>325.0</v>
      </c>
      <c r="D3" s="8" t="s">
        <v>69</v>
      </c>
      <c r="E3" s="18">
        <v>530.0</v>
      </c>
      <c r="F3" s="8">
        <v>6.0</v>
      </c>
      <c r="G3" s="8" t="s">
        <v>27</v>
      </c>
      <c r="H3" s="8">
        <v>7.0</v>
      </c>
      <c r="I3" s="19">
        <v>2.0</v>
      </c>
      <c r="J3" s="14" t="s">
        <v>20</v>
      </c>
      <c r="K3" s="20">
        <f>SUM(H2:H1001)/K1</f>
        <v>4.068965517</v>
      </c>
    </row>
    <row r="4" ht="22.5" customHeight="1">
      <c r="A4" s="16" t="str">
        <f>IFNA(VLOOKUP(B4,Sprites!$A$2:$B$1200,2,FALSE),"")</f>
        <v/>
      </c>
      <c r="B4" s="17" t="s">
        <v>399</v>
      </c>
      <c r="C4" s="8">
        <v>315.0</v>
      </c>
      <c r="D4" s="8" t="s">
        <v>400</v>
      </c>
      <c r="E4" s="18">
        <v>490.0</v>
      </c>
      <c r="F4" s="8">
        <v>11.0</v>
      </c>
      <c r="G4" s="8" t="s">
        <v>26</v>
      </c>
      <c r="H4" s="8">
        <v>7.0</v>
      </c>
      <c r="I4" s="19">
        <v>3.0</v>
      </c>
      <c r="J4" s="14" t="s">
        <v>56</v>
      </c>
      <c r="K4" s="21">
        <f>COUNTIF(D2:D1000, "Roguestone")</f>
        <v>3</v>
      </c>
    </row>
    <row r="5" ht="22.5" customHeight="1">
      <c r="A5" s="16" t="str">
        <f>IFNA(VLOOKUP(B5,Sprites!$A$2:$B$1200,2,FALSE),"")</f>
        <v/>
      </c>
      <c r="B5" s="17" t="s">
        <v>401</v>
      </c>
      <c r="C5" s="8">
        <v>310.0</v>
      </c>
      <c r="D5" s="8" t="s">
        <v>219</v>
      </c>
      <c r="E5" s="18">
        <v>400.0</v>
      </c>
      <c r="F5" s="8">
        <v>0.0</v>
      </c>
      <c r="H5" s="8">
        <v>7.0</v>
      </c>
      <c r="I5" s="19">
        <v>4.0</v>
      </c>
      <c r="J5" s="14" t="s">
        <v>58</v>
      </c>
      <c r="K5" s="22">
        <f>K4/K1</f>
        <v>0.1034482759</v>
      </c>
    </row>
    <row r="6" ht="22.5" customHeight="1">
      <c r="A6" s="16" t="str">
        <f>IFNA(VLOOKUP(B6,Sprites!$A$2:$B$1200,2,FALSE),"")</f>
        <v/>
      </c>
      <c r="B6" s="17" t="s">
        <v>402</v>
      </c>
      <c r="C6" s="8">
        <v>410.0</v>
      </c>
      <c r="D6" s="8" t="s">
        <v>51</v>
      </c>
      <c r="E6" s="18">
        <v>500.0</v>
      </c>
      <c r="F6" s="8">
        <v>6.0</v>
      </c>
      <c r="H6" s="8">
        <v>6.0</v>
      </c>
      <c r="I6" s="19">
        <v>5.0</v>
      </c>
      <c r="L6" s="23"/>
      <c r="M6" s="24"/>
      <c r="N6" s="23"/>
      <c r="O6" s="24"/>
    </row>
    <row r="7" ht="22.5" customHeight="1">
      <c r="A7" s="16" t="str">
        <f>IFNA(VLOOKUP(B7,Sprites!$A$2:$B$1200,2,FALSE),"")</f>
        <v/>
      </c>
      <c r="B7" s="17" t="s">
        <v>403</v>
      </c>
      <c r="C7" s="8">
        <v>260.0</v>
      </c>
      <c r="D7" s="8" t="s">
        <v>63</v>
      </c>
      <c r="E7" s="18">
        <v>405.0</v>
      </c>
      <c r="F7" s="8">
        <v>0.0</v>
      </c>
      <c r="H7" s="8">
        <v>6.0</v>
      </c>
      <c r="I7" s="19">
        <v>6.0</v>
      </c>
      <c r="M7" s="25"/>
      <c r="O7" s="25"/>
    </row>
    <row r="8" ht="22.5" customHeight="1">
      <c r="A8" s="16" t="str">
        <f>IFNA(VLOOKUP(B8,Sprites!$A$2:$B$1200,2,FALSE),"")</f>
        <v/>
      </c>
      <c r="B8" s="17" t="s">
        <v>404</v>
      </c>
      <c r="C8" s="8">
        <v>315.0</v>
      </c>
      <c r="D8" s="8" t="s">
        <v>69</v>
      </c>
      <c r="E8" s="18">
        <v>490.0</v>
      </c>
      <c r="F8" s="8">
        <v>10.0</v>
      </c>
      <c r="H8" s="8">
        <v>6.0</v>
      </c>
      <c r="I8" s="19">
        <v>7.0</v>
      </c>
      <c r="M8" s="25"/>
      <c r="O8" s="25"/>
    </row>
    <row r="9" ht="22.5" customHeight="1">
      <c r="A9" s="16" t="str">
        <f>IFNA(VLOOKUP(B9,Sprites!$A$2:$B$1200,2,FALSE),"")</f>
        <v/>
      </c>
      <c r="B9" s="17" t="s">
        <v>405</v>
      </c>
      <c r="C9" s="8">
        <v>328.0</v>
      </c>
      <c r="D9" s="8" t="s">
        <v>168</v>
      </c>
      <c r="E9" s="18">
        <v>483.0</v>
      </c>
      <c r="F9" s="8">
        <v>5.0</v>
      </c>
      <c r="H9" s="8">
        <v>5.0</v>
      </c>
      <c r="I9" s="19">
        <v>8.0</v>
      </c>
      <c r="M9" s="25"/>
      <c r="O9" s="25"/>
    </row>
    <row r="10" ht="22.5" customHeight="1">
      <c r="A10" s="16" t="str">
        <f>IFNA(VLOOKUP(B10,Sprites!$A$2:$B$1200,2,FALSE),"")</f>
        <v/>
      </c>
      <c r="B10" s="17" t="s">
        <v>406</v>
      </c>
      <c r="C10" s="8">
        <v>200.0</v>
      </c>
      <c r="D10" s="8" t="s">
        <v>61</v>
      </c>
      <c r="E10" s="18">
        <v>400.0</v>
      </c>
      <c r="F10" s="8">
        <v>0.0</v>
      </c>
      <c r="H10" s="8">
        <v>5.0</v>
      </c>
      <c r="I10" s="19">
        <v>9.0</v>
      </c>
      <c r="M10" s="25"/>
      <c r="O10" s="25"/>
    </row>
    <row r="11" ht="22.5" customHeight="1">
      <c r="A11" s="16" t="str">
        <f>IFNA(VLOOKUP(B11,Sprites!$A$2:$B$1200,2,FALSE),"")</f>
        <v/>
      </c>
      <c r="B11" s="17" t="s">
        <v>324</v>
      </c>
      <c r="C11" s="8">
        <v>300.0</v>
      </c>
      <c r="D11" s="8" t="s">
        <v>82</v>
      </c>
      <c r="E11" s="18">
        <v>500.0</v>
      </c>
      <c r="F11" s="8">
        <v>11.0</v>
      </c>
      <c r="G11" s="8" t="s">
        <v>38</v>
      </c>
      <c r="H11" s="8">
        <v>5.0</v>
      </c>
      <c r="I11" s="19">
        <v>10.0</v>
      </c>
      <c r="M11" s="25"/>
      <c r="O11" s="25"/>
    </row>
    <row r="12" ht="22.5" customHeight="1">
      <c r="A12" s="16" t="str">
        <f>IFNA(VLOOKUP(B12,Sprites!$A$2:$B$1200,2,FALSE),"")</f>
        <v/>
      </c>
      <c r="B12" s="17" t="s">
        <v>186</v>
      </c>
      <c r="C12" s="8">
        <v>310.0</v>
      </c>
      <c r="D12" s="8" t="s">
        <v>63</v>
      </c>
      <c r="E12" s="18">
        <v>460.0</v>
      </c>
      <c r="F12" s="8">
        <v>1.0</v>
      </c>
      <c r="G12" s="8" t="s">
        <v>37</v>
      </c>
      <c r="H12" s="8">
        <v>4.0</v>
      </c>
      <c r="I12" s="19">
        <v>11.0</v>
      </c>
      <c r="M12" s="25"/>
      <c r="O12" s="25"/>
    </row>
    <row r="13" ht="22.5" customHeight="1">
      <c r="A13" s="16" t="str">
        <f>IFNA(VLOOKUP(B13,Sprites!$A$2:$B$1200,2,FALSE),"")</f>
        <v/>
      </c>
      <c r="B13" s="17" t="s">
        <v>407</v>
      </c>
      <c r="C13" s="8">
        <v>330.0</v>
      </c>
      <c r="D13" s="8" t="s">
        <v>131</v>
      </c>
      <c r="E13" s="18">
        <v>485.0</v>
      </c>
      <c r="F13" s="8">
        <v>6.0</v>
      </c>
      <c r="H13" s="8">
        <v>4.0</v>
      </c>
      <c r="I13" s="19">
        <v>12.0</v>
      </c>
      <c r="M13" s="25"/>
      <c r="O13" s="25"/>
    </row>
    <row r="14" ht="22.5" customHeight="1">
      <c r="A14" s="16" t="str">
        <f>IFNA(VLOOKUP(B14,Sprites!$A$2:$B$1200,2,FALSE),"")</f>
        <v/>
      </c>
      <c r="B14" s="17" t="s">
        <v>408</v>
      </c>
      <c r="C14" s="8">
        <v>300.0</v>
      </c>
      <c r="D14" s="8" t="s">
        <v>65</v>
      </c>
      <c r="E14" s="18">
        <v>420.0</v>
      </c>
      <c r="F14" s="8">
        <v>0.0</v>
      </c>
      <c r="G14" s="8" t="s">
        <v>36</v>
      </c>
      <c r="H14" s="8">
        <v>4.0</v>
      </c>
      <c r="I14" s="19">
        <v>13.0</v>
      </c>
      <c r="M14" s="25"/>
      <c r="O14" s="25"/>
    </row>
    <row r="15" ht="22.5" customHeight="1">
      <c r="A15" s="16" t="str">
        <f>IFNA(VLOOKUP(B15,Sprites!$A$2:$B$1200,2,FALSE),"")</f>
        <v/>
      </c>
      <c r="B15" s="17" t="s">
        <v>409</v>
      </c>
      <c r="C15" s="8">
        <v>300.0</v>
      </c>
      <c r="D15" s="8" t="s">
        <v>53</v>
      </c>
      <c r="E15" s="18">
        <v>500.0</v>
      </c>
      <c r="F15" s="8">
        <v>6.0</v>
      </c>
      <c r="G15" s="8" t="s">
        <v>36</v>
      </c>
      <c r="H15" s="8">
        <v>4.0</v>
      </c>
      <c r="I15" s="19">
        <v>14.0</v>
      </c>
      <c r="M15" s="25"/>
      <c r="O15" s="25"/>
    </row>
    <row r="16" ht="22.5" customHeight="1">
      <c r="A16" s="16" t="str">
        <f>IFNA(VLOOKUP(B16,Sprites!$A$2:$B$1200,2,FALSE),"")</f>
        <v/>
      </c>
      <c r="B16" s="17" t="s">
        <v>249</v>
      </c>
      <c r="C16" s="8">
        <v>320.0</v>
      </c>
      <c r="D16" s="8" t="s">
        <v>77</v>
      </c>
      <c r="E16" s="18">
        <v>470.0</v>
      </c>
      <c r="F16" s="8">
        <v>3.0</v>
      </c>
      <c r="G16" s="8" t="s">
        <v>32</v>
      </c>
      <c r="H16" s="8">
        <v>4.0</v>
      </c>
      <c r="I16" s="19">
        <v>15.0</v>
      </c>
      <c r="M16" s="25"/>
      <c r="O16" s="25"/>
    </row>
    <row r="17" ht="22.5" customHeight="1">
      <c r="A17" s="16" t="str">
        <f>IFNA(VLOOKUP(B17,Sprites!$A$2:$B$1200,2,FALSE),"")</f>
        <v/>
      </c>
      <c r="B17" s="17" t="s">
        <v>128</v>
      </c>
      <c r="C17" s="8">
        <v>288.0</v>
      </c>
      <c r="D17" s="8" t="s">
        <v>90</v>
      </c>
      <c r="E17" s="18">
        <v>482.0</v>
      </c>
      <c r="F17" s="8">
        <v>7.0</v>
      </c>
      <c r="G17" s="8" t="s">
        <v>25</v>
      </c>
      <c r="H17" s="8">
        <v>4.0</v>
      </c>
      <c r="I17" s="19">
        <v>16.0</v>
      </c>
      <c r="M17" s="25"/>
      <c r="O17" s="25"/>
    </row>
    <row r="18" ht="22.5" customHeight="1">
      <c r="A18" s="16" t="str">
        <f>IFNA(VLOOKUP(B18,Sprites!$A$2:$B$1200,2,FALSE),"")</f>
        <v/>
      </c>
      <c r="B18" s="17" t="s">
        <v>251</v>
      </c>
      <c r="C18" s="8">
        <v>323.0</v>
      </c>
      <c r="D18" s="8" t="s">
        <v>67</v>
      </c>
      <c r="E18" s="18">
        <v>425.0</v>
      </c>
      <c r="F18" s="8">
        <v>5.0</v>
      </c>
      <c r="G18" s="8" t="s">
        <v>32</v>
      </c>
      <c r="H18" s="8">
        <v>4.0</v>
      </c>
      <c r="I18" s="19">
        <v>17.0</v>
      </c>
      <c r="M18" s="25"/>
      <c r="O18" s="25"/>
    </row>
    <row r="19" ht="22.5" customHeight="1">
      <c r="A19" s="16" t="str">
        <f>IFNA(VLOOKUP(B19,Sprites!$A$2:$B$1200,2,FALSE),"")</f>
        <v/>
      </c>
      <c r="B19" s="17" t="s">
        <v>410</v>
      </c>
      <c r="C19" s="8">
        <v>355.0</v>
      </c>
      <c r="D19" s="8" t="s">
        <v>77</v>
      </c>
      <c r="E19" s="18">
        <v>466.0</v>
      </c>
      <c r="F19" s="8">
        <v>3.0</v>
      </c>
      <c r="H19" s="8">
        <v>3.0</v>
      </c>
      <c r="I19" s="19">
        <v>18.0</v>
      </c>
      <c r="M19" s="25"/>
      <c r="O19" s="25"/>
    </row>
    <row r="20" ht="22.5" customHeight="1">
      <c r="A20" s="16" t="str">
        <f>IFNA(VLOOKUP(B20,Sprites!$A$2:$B$1200,2,FALSE),"")</f>
        <v/>
      </c>
      <c r="B20" s="17" t="s">
        <v>411</v>
      </c>
      <c r="C20" s="8">
        <v>290.0</v>
      </c>
      <c r="D20" s="8" t="s">
        <v>131</v>
      </c>
      <c r="E20" s="18">
        <v>390.0</v>
      </c>
      <c r="F20" s="8">
        <v>5.0</v>
      </c>
      <c r="H20" s="8">
        <v>3.0</v>
      </c>
      <c r="I20" s="19">
        <v>19.0</v>
      </c>
      <c r="M20" s="25"/>
      <c r="O20" s="25"/>
    </row>
    <row r="21" ht="22.5" customHeight="1">
      <c r="A21" s="16" t="str">
        <f>IFNA(VLOOKUP(B21,Sprites!$A$2:$B$1200,2,FALSE),"")</f>
        <v/>
      </c>
      <c r="B21" s="17" t="s">
        <v>412</v>
      </c>
      <c r="C21" s="8">
        <v>290.0</v>
      </c>
      <c r="D21" s="8" t="s">
        <v>131</v>
      </c>
      <c r="E21" s="18">
        <v>370.0</v>
      </c>
      <c r="F21" s="8">
        <v>6.0</v>
      </c>
      <c r="H21" s="8">
        <v>3.0</v>
      </c>
      <c r="I21" s="19">
        <v>20.0</v>
      </c>
      <c r="M21" s="25"/>
      <c r="O21" s="25"/>
    </row>
    <row r="22" ht="22.5" customHeight="1">
      <c r="A22" s="16" t="str">
        <f>IFNA(VLOOKUP(B22,Sprites!$A$2:$B$1200,2,FALSE),"")</f>
        <v/>
      </c>
      <c r="B22" s="17" t="s">
        <v>413</v>
      </c>
      <c r="C22" s="8">
        <v>335.0</v>
      </c>
      <c r="D22" s="8" t="s">
        <v>115</v>
      </c>
      <c r="E22" s="18">
        <v>485.0</v>
      </c>
      <c r="F22" s="8">
        <v>6.0</v>
      </c>
      <c r="H22" s="8">
        <v>3.0</v>
      </c>
      <c r="I22" s="19">
        <v>21.0</v>
      </c>
      <c r="M22" s="25"/>
      <c r="O22" s="25"/>
    </row>
    <row r="23" ht="22.5" customHeight="1">
      <c r="A23" s="16" t="str">
        <f>IFNA(VLOOKUP(B23,Sprites!$A$2:$B$1200,2,FALSE),"")</f>
        <v/>
      </c>
      <c r="B23" s="17" t="s">
        <v>207</v>
      </c>
      <c r="C23" s="8">
        <v>280.0</v>
      </c>
      <c r="D23" s="8" t="s">
        <v>208</v>
      </c>
      <c r="E23" s="18">
        <v>410.0</v>
      </c>
      <c r="F23" s="8">
        <v>11.0</v>
      </c>
      <c r="G23" s="8" t="s">
        <v>30</v>
      </c>
      <c r="H23" s="8">
        <v>3.0</v>
      </c>
      <c r="I23" s="19">
        <v>22.0</v>
      </c>
      <c r="M23" s="25"/>
      <c r="O23" s="25"/>
    </row>
    <row r="24" ht="22.5" customHeight="1">
      <c r="A24" s="16" t="str">
        <f>IFNA(VLOOKUP(B24,Sprites!$A$2:$B$1200,2,FALSE),"")</f>
        <v/>
      </c>
      <c r="B24" s="17" t="s">
        <v>414</v>
      </c>
      <c r="C24" s="8">
        <v>285.0</v>
      </c>
      <c r="D24" s="8" t="s">
        <v>67</v>
      </c>
      <c r="E24" s="18">
        <v>455.0</v>
      </c>
      <c r="F24" s="8">
        <v>3.0</v>
      </c>
      <c r="H24" s="8">
        <v>2.0</v>
      </c>
      <c r="I24" s="19">
        <v>23.0</v>
      </c>
      <c r="M24" s="25"/>
      <c r="O24" s="25"/>
    </row>
    <row r="25" ht="22.5" customHeight="1">
      <c r="A25" s="16" t="str">
        <f>IFNA(VLOOKUP(B25,Sprites!$A$2:$B$1200,2,FALSE),"")</f>
        <v/>
      </c>
      <c r="B25" s="17" t="s">
        <v>415</v>
      </c>
      <c r="C25" s="8">
        <v>292.0</v>
      </c>
      <c r="D25" s="8" t="s">
        <v>69</v>
      </c>
      <c r="E25" s="18">
        <v>487.0</v>
      </c>
      <c r="F25" s="8">
        <v>6.0</v>
      </c>
      <c r="H25" s="8">
        <v>2.0</v>
      </c>
      <c r="I25" s="19">
        <v>24.0</v>
      </c>
      <c r="M25" s="25"/>
      <c r="O25" s="25"/>
    </row>
    <row r="26" ht="22.5" customHeight="1">
      <c r="A26" s="16" t="str">
        <f>IFNA(VLOOKUP(B26,Sprites!$A$2:$B$1200,2,FALSE),"")</f>
        <v/>
      </c>
      <c r="B26" s="17" t="s">
        <v>416</v>
      </c>
      <c r="C26" s="8">
        <v>265.0</v>
      </c>
      <c r="D26" s="8" t="s">
        <v>131</v>
      </c>
      <c r="E26" s="18">
        <v>475.0</v>
      </c>
      <c r="F26" s="8">
        <v>5.0</v>
      </c>
      <c r="H26" s="8">
        <v>2.0</v>
      </c>
      <c r="I26" s="19">
        <v>25.0</v>
      </c>
      <c r="M26" s="25"/>
      <c r="O26" s="25"/>
    </row>
    <row r="27" ht="22.5" customHeight="1">
      <c r="A27" s="16" t="str">
        <f>IFNA(VLOOKUP(B27,Sprites!$A$2:$B$1200,2,FALSE),"")</f>
        <v/>
      </c>
      <c r="B27" s="17" t="s">
        <v>417</v>
      </c>
      <c r="C27" s="8">
        <v>255.0</v>
      </c>
      <c r="D27" s="8" t="s">
        <v>117</v>
      </c>
      <c r="E27" s="18">
        <v>480.0</v>
      </c>
      <c r="F27" s="8">
        <v>6.0</v>
      </c>
      <c r="H27" s="8">
        <v>2.0</v>
      </c>
      <c r="I27" s="19">
        <v>26.0</v>
      </c>
      <c r="M27" s="25"/>
      <c r="O27" s="25"/>
    </row>
    <row r="28" ht="22.5" customHeight="1">
      <c r="A28" s="16" t="str">
        <f>IFNA(VLOOKUP(B28,Sprites!$A$2:$B$1200,2,FALSE),"")</f>
        <v/>
      </c>
      <c r="B28" s="17" t="s">
        <v>348</v>
      </c>
      <c r="C28" s="8">
        <v>305.0</v>
      </c>
      <c r="D28" s="8" t="s">
        <v>90</v>
      </c>
      <c r="E28" s="18">
        <v>455.0</v>
      </c>
      <c r="F28" s="8">
        <v>5.0</v>
      </c>
      <c r="G28" s="8" t="s">
        <v>35</v>
      </c>
      <c r="H28" s="8">
        <v>2.0</v>
      </c>
      <c r="I28" s="19">
        <v>27.0</v>
      </c>
      <c r="M28" s="25"/>
      <c r="O28" s="25"/>
    </row>
    <row r="29" ht="22.5" customHeight="1">
      <c r="A29" s="16" t="str">
        <f>IFNA(VLOOKUP(B29,Sprites!$A$2:$B$1200,2,FALSE),"")</f>
        <v/>
      </c>
      <c r="B29" s="17" t="s">
        <v>195</v>
      </c>
      <c r="C29" s="8">
        <v>198.0</v>
      </c>
      <c r="D29" s="8" t="s">
        <v>65</v>
      </c>
      <c r="E29" s="18">
        <v>278.0</v>
      </c>
      <c r="F29" s="8">
        <v>4.0</v>
      </c>
      <c r="G29" s="8" t="s">
        <v>37</v>
      </c>
      <c r="H29" s="8">
        <v>1.0</v>
      </c>
      <c r="I29" s="19">
        <v>28.0</v>
      </c>
      <c r="M29" s="25"/>
      <c r="O29" s="25"/>
    </row>
    <row r="30" ht="22.5" customHeight="1">
      <c r="A30" s="49" t="s">
        <v>418</v>
      </c>
      <c r="B30" s="17" t="s">
        <v>419</v>
      </c>
      <c r="C30" s="8">
        <v>336.0</v>
      </c>
      <c r="D30" s="8" t="s">
        <v>113</v>
      </c>
      <c r="E30" s="18">
        <v>436.0</v>
      </c>
      <c r="F30" s="8">
        <v>0.0</v>
      </c>
      <c r="H30" s="8">
        <v>1.0</v>
      </c>
      <c r="I30" s="19">
        <v>29.0</v>
      </c>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E56" s="25"/>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14"/>
      <c r="M59" s="25"/>
      <c r="O59" s="25"/>
    </row>
    <row r="60">
      <c r="A60" s="26" t="str">
        <f>IFNA(VLOOKUP(B60,Sprites!$A$2:$B$1200,2,FALSE),"")</f>
        <v/>
      </c>
      <c r="B60" s="14"/>
      <c r="I60" s="27"/>
      <c r="M60" s="25"/>
      <c r="O60" s="25"/>
    </row>
    <row r="61">
      <c r="A61" s="26" t="str">
        <f>IFNA(VLOOKUP(B61,Sprites!$A$2:$B$1200,2,FALSE),"")</f>
        <v/>
      </c>
      <c r="B61" s="14"/>
      <c r="I61" s="27"/>
      <c r="M61" s="25"/>
      <c r="O61" s="25"/>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6" t="str">
        <f>IFNA(VLOOKUP(B89,Sprites!$A$2:$B$1200,2,FALSE),"")</f>
        <v/>
      </c>
      <c r="B89" s="14"/>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row r="1001">
      <c r="A1001" s="28"/>
      <c r="B1001" s="27"/>
      <c r="I1001" s="27"/>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27.0</v>
      </c>
    </row>
    <row r="2" ht="22.5" customHeight="1">
      <c r="A2" s="16" t="str">
        <f>IFNA(VLOOKUP(B2,Sprites!$A$2:$B$1200,2,FALSE),"")</f>
        <v/>
      </c>
      <c r="B2" s="17" t="s">
        <v>240</v>
      </c>
      <c r="C2" s="8">
        <v>401.0</v>
      </c>
      <c r="D2" s="8" t="s">
        <v>208</v>
      </c>
      <c r="E2" s="18">
        <v>567.0</v>
      </c>
      <c r="F2" s="8">
        <v>11.0</v>
      </c>
      <c r="G2" s="8" t="s">
        <v>32</v>
      </c>
      <c r="H2" s="8">
        <v>10.0</v>
      </c>
      <c r="I2" s="19">
        <v>1.0</v>
      </c>
      <c r="J2" s="14" t="s">
        <v>19</v>
      </c>
      <c r="K2" s="20">
        <f>SUM(C2:C1000)/K1</f>
        <v>334.6666667</v>
      </c>
    </row>
    <row r="3" ht="22.5" customHeight="1">
      <c r="A3" s="16" t="str">
        <f>IFNA(VLOOKUP(B3,Sprites!$A$2:$B$1200,2,FALSE),"")</f>
        <v/>
      </c>
      <c r="B3" s="17" t="s">
        <v>420</v>
      </c>
      <c r="C3" s="8">
        <v>375.0</v>
      </c>
      <c r="D3" s="8" t="s">
        <v>69</v>
      </c>
      <c r="E3" s="18">
        <v>525.0</v>
      </c>
      <c r="F3" s="8">
        <v>13.0</v>
      </c>
      <c r="H3" s="8">
        <v>8.0</v>
      </c>
      <c r="I3" s="19">
        <v>2.0</v>
      </c>
      <c r="J3" s="14" t="s">
        <v>20</v>
      </c>
      <c r="K3" s="20">
        <f>SUM(H2:H1000)/K1</f>
        <v>5.111111111</v>
      </c>
    </row>
    <row r="4" ht="22.5" customHeight="1">
      <c r="A4" s="16" t="str">
        <f>IFNA(VLOOKUP(B4,Sprites!$A$2:$B$1200,2,FALSE),"")</f>
        <v/>
      </c>
      <c r="B4" s="17" t="s">
        <v>421</v>
      </c>
      <c r="C4" s="8">
        <v>290.0</v>
      </c>
      <c r="D4" s="8" t="s">
        <v>63</v>
      </c>
      <c r="E4" s="18">
        <v>410.0</v>
      </c>
      <c r="F4" s="8">
        <v>1.0</v>
      </c>
      <c r="H4" s="8">
        <v>8.0</v>
      </c>
      <c r="I4" s="19">
        <v>3.0</v>
      </c>
      <c r="J4" s="14" t="s">
        <v>56</v>
      </c>
      <c r="K4" s="21">
        <f>COUNTIF(D2:D1000, "Roguestone")</f>
        <v>3</v>
      </c>
    </row>
    <row r="5" ht="22.5" customHeight="1">
      <c r="A5" s="16" t="str">
        <f>IFNA(VLOOKUP(B5,Sprites!$A$2:$B$1200,2,FALSE),"")</f>
        <v/>
      </c>
      <c r="B5" s="17" t="s">
        <v>422</v>
      </c>
      <c r="C5" s="8">
        <v>350.0</v>
      </c>
      <c r="D5" s="8" t="s">
        <v>90</v>
      </c>
      <c r="E5" s="18">
        <v>495.0</v>
      </c>
      <c r="F5" s="8">
        <v>5.0</v>
      </c>
      <c r="H5" s="8">
        <v>7.0</v>
      </c>
      <c r="I5" s="19">
        <v>4.0</v>
      </c>
      <c r="J5" s="14" t="s">
        <v>58</v>
      </c>
      <c r="K5" s="22">
        <f>K4/K1</f>
        <v>0.1111111111</v>
      </c>
    </row>
    <row r="6" ht="22.5" customHeight="1">
      <c r="A6" s="16" t="str">
        <f>IFNA(VLOOKUP(B6,Sprites!$A$2:$B$1200,2,FALSE),"")</f>
        <v/>
      </c>
      <c r="B6" s="17" t="s">
        <v>337</v>
      </c>
      <c r="C6" s="8">
        <v>362.0</v>
      </c>
      <c r="D6" s="8" t="s">
        <v>90</v>
      </c>
      <c r="E6" s="18">
        <v>521.0</v>
      </c>
      <c r="F6" s="8">
        <v>5.0</v>
      </c>
      <c r="G6" s="8" t="s">
        <v>35</v>
      </c>
      <c r="H6" s="8">
        <v>7.0</v>
      </c>
      <c r="I6" s="19">
        <v>5.0</v>
      </c>
      <c r="L6" s="23"/>
      <c r="M6" s="24"/>
      <c r="N6" s="23"/>
      <c r="O6" s="24"/>
    </row>
    <row r="7" ht="22.5" customHeight="1">
      <c r="A7" s="16" t="str">
        <f>IFNA(VLOOKUP(B7,Sprites!$A$2:$B$1200,2,FALSE),"")</f>
        <v/>
      </c>
      <c r="B7" s="17" t="s">
        <v>143</v>
      </c>
      <c r="C7" s="8">
        <v>362.0</v>
      </c>
      <c r="D7" s="8" t="s">
        <v>133</v>
      </c>
      <c r="E7" s="18">
        <v>521.0</v>
      </c>
      <c r="F7" s="8">
        <v>7.0</v>
      </c>
      <c r="G7" s="8" t="s">
        <v>23</v>
      </c>
      <c r="H7" s="8">
        <v>7.0</v>
      </c>
      <c r="I7" s="19">
        <v>6.0</v>
      </c>
      <c r="M7" s="25"/>
      <c r="O7" s="25"/>
    </row>
    <row r="8" ht="22.5" customHeight="1">
      <c r="A8" s="16" t="str">
        <f>IFNA(VLOOKUP(B8,Sprites!$A$2:$B$1200,2,FALSE),"")</f>
        <v/>
      </c>
      <c r="B8" s="17" t="s">
        <v>230</v>
      </c>
      <c r="C8" s="8">
        <v>350.0</v>
      </c>
      <c r="D8" s="8" t="s">
        <v>69</v>
      </c>
      <c r="E8" s="18">
        <v>555.0</v>
      </c>
      <c r="F8" s="8">
        <v>7.0</v>
      </c>
      <c r="G8" s="8" t="s">
        <v>22</v>
      </c>
      <c r="H8" s="8">
        <v>6.0</v>
      </c>
      <c r="I8" s="19">
        <v>7.0</v>
      </c>
      <c r="M8" s="25"/>
      <c r="O8" s="25"/>
    </row>
    <row r="9" ht="22.5" customHeight="1">
      <c r="A9" s="16" t="str">
        <f>IFNA(VLOOKUP(B9,Sprites!$A$2:$B$1200,2,FALSE),"")</f>
        <v/>
      </c>
      <c r="B9" s="17" t="s">
        <v>423</v>
      </c>
      <c r="C9" s="8">
        <v>240.0</v>
      </c>
      <c r="D9" s="8" t="s">
        <v>61</v>
      </c>
      <c r="E9" s="18">
        <v>410.0</v>
      </c>
      <c r="F9" s="8">
        <v>2.0</v>
      </c>
      <c r="H9" s="8">
        <v>6.0</v>
      </c>
      <c r="I9" s="19">
        <v>8.0</v>
      </c>
      <c r="M9" s="25"/>
      <c r="O9" s="25"/>
    </row>
    <row r="10" ht="22.5" customHeight="1">
      <c r="A10" s="16" t="str">
        <f>IFNA(VLOOKUP(B10,Sprites!$A$2:$B$1200,2,FALSE),"")</f>
        <v/>
      </c>
      <c r="B10" s="17" t="s">
        <v>424</v>
      </c>
      <c r="C10" s="8">
        <v>355.0</v>
      </c>
      <c r="D10" s="8" t="s">
        <v>208</v>
      </c>
      <c r="E10" s="18">
        <v>495.0</v>
      </c>
      <c r="F10" s="8">
        <v>10.0</v>
      </c>
      <c r="G10" s="8" t="s">
        <v>26</v>
      </c>
      <c r="H10" s="8">
        <v>6.0</v>
      </c>
      <c r="I10" s="19">
        <v>9.0</v>
      </c>
      <c r="M10" s="25"/>
      <c r="O10" s="25"/>
    </row>
    <row r="11" ht="22.5" customHeight="1">
      <c r="A11" s="16" t="str">
        <f>IFNA(VLOOKUP(B11,Sprites!$A$2:$B$1200,2,FALSE),"")</f>
        <v/>
      </c>
      <c r="B11" s="17" t="s">
        <v>425</v>
      </c>
      <c r="C11" s="8">
        <v>355.0</v>
      </c>
      <c r="D11" s="8" t="s">
        <v>51</v>
      </c>
      <c r="E11" s="18">
        <v>495.0</v>
      </c>
      <c r="F11" s="8">
        <v>6.0</v>
      </c>
      <c r="G11" s="8" t="s">
        <v>26</v>
      </c>
      <c r="H11" s="8">
        <v>6.0</v>
      </c>
      <c r="I11" s="19">
        <v>10.0</v>
      </c>
      <c r="M11" s="25"/>
      <c r="O11" s="25"/>
    </row>
    <row r="12" ht="22.5" customHeight="1">
      <c r="A12" s="16" t="str">
        <f>IFNA(VLOOKUP(B12,Sprites!$A$2:$B$1200,2,FALSE),"")</f>
        <v/>
      </c>
      <c r="B12" s="17" t="s">
        <v>426</v>
      </c>
      <c r="C12" s="8">
        <v>355.0</v>
      </c>
      <c r="D12" s="8" t="s">
        <v>51</v>
      </c>
      <c r="E12" s="18">
        <v>495.0</v>
      </c>
      <c r="F12" s="8">
        <v>6.0</v>
      </c>
      <c r="G12" s="8" t="s">
        <v>26</v>
      </c>
      <c r="H12" s="8">
        <v>6.0</v>
      </c>
      <c r="I12" s="19">
        <v>11.0</v>
      </c>
      <c r="M12" s="25"/>
      <c r="O12" s="25"/>
    </row>
    <row r="13" ht="22.5" customHeight="1">
      <c r="A13" s="16" t="str">
        <f>IFNA(VLOOKUP(B13,Sprites!$A$2:$B$1200,2,FALSE),"")</f>
        <v/>
      </c>
      <c r="B13" s="17" t="s">
        <v>301</v>
      </c>
      <c r="C13" s="8">
        <v>355.0</v>
      </c>
      <c r="D13" s="8" t="s">
        <v>51</v>
      </c>
      <c r="E13" s="18">
        <v>495.0</v>
      </c>
      <c r="F13" s="8">
        <v>7.0</v>
      </c>
      <c r="G13" s="8" t="s">
        <v>27</v>
      </c>
      <c r="H13" s="8">
        <v>5.0</v>
      </c>
      <c r="I13" s="19">
        <v>12.0</v>
      </c>
      <c r="M13" s="25"/>
      <c r="O13" s="25"/>
    </row>
    <row r="14" ht="22.5" customHeight="1">
      <c r="A14" s="16" t="str">
        <f>IFNA(VLOOKUP(B14,Sprites!$A$2:$B$1200,2,FALSE),"")</f>
        <v/>
      </c>
      <c r="B14" s="17" t="s">
        <v>59</v>
      </c>
      <c r="C14" s="8">
        <v>355.0</v>
      </c>
      <c r="D14" s="8" t="s">
        <v>51</v>
      </c>
      <c r="E14" s="18">
        <v>495.0</v>
      </c>
      <c r="F14" s="8">
        <v>7.0</v>
      </c>
      <c r="G14" s="8" t="s">
        <v>39</v>
      </c>
      <c r="H14" s="8">
        <v>5.0</v>
      </c>
      <c r="I14" s="19">
        <v>13.0</v>
      </c>
      <c r="M14" s="25"/>
      <c r="O14" s="25"/>
    </row>
    <row r="15" ht="22.5" customHeight="1">
      <c r="A15" s="16" t="str">
        <f>IFNA(VLOOKUP(B15,Sprites!$A$2:$B$1200,2,FALSE),"")</f>
        <v/>
      </c>
      <c r="B15" s="17" t="s">
        <v>427</v>
      </c>
      <c r="C15" s="8">
        <v>280.0</v>
      </c>
      <c r="D15" s="8" t="s">
        <v>77</v>
      </c>
      <c r="E15" s="18">
        <v>390.0</v>
      </c>
      <c r="F15" s="8">
        <v>4.0</v>
      </c>
      <c r="H15" s="8">
        <v>5.0</v>
      </c>
      <c r="I15" s="19">
        <v>15.0</v>
      </c>
      <c r="M15" s="25"/>
      <c r="O15" s="25"/>
    </row>
    <row r="16" ht="22.5" customHeight="1">
      <c r="A16" s="16" t="str">
        <f>IFNA(VLOOKUP(B16,Sprites!$A$2:$B$1200,2,FALSE),"")</f>
        <v/>
      </c>
      <c r="B16" s="17" t="s">
        <v>428</v>
      </c>
      <c r="C16" s="8">
        <v>350.0</v>
      </c>
      <c r="D16" s="8" t="s">
        <v>90</v>
      </c>
      <c r="E16" s="18">
        <v>495.0</v>
      </c>
      <c r="F16" s="8">
        <v>5.0</v>
      </c>
      <c r="G16" s="8" t="s">
        <v>36</v>
      </c>
      <c r="H16" s="8">
        <v>5.0</v>
      </c>
      <c r="I16" s="19">
        <v>16.0</v>
      </c>
      <c r="M16" s="25"/>
      <c r="O16" s="25"/>
    </row>
    <row r="17" ht="22.5" customHeight="1">
      <c r="A17" s="16" t="str">
        <f>IFNA(VLOOKUP(B17,Sprites!$A$2:$B$1200,2,FALSE),"")</f>
        <v/>
      </c>
      <c r="B17" s="17" t="s">
        <v>429</v>
      </c>
      <c r="C17" s="8">
        <v>306.0</v>
      </c>
      <c r="D17" s="8" t="s">
        <v>131</v>
      </c>
      <c r="E17" s="18">
        <v>500.0</v>
      </c>
      <c r="F17" s="8">
        <v>6.0</v>
      </c>
      <c r="G17" s="8" t="s">
        <v>26</v>
      </c>
      <c r="H17" s="8">
        <v>5.0</v>
      </c>
      <c r="I17" s="19">
        <v>17.0</v>
      </c>
      <c r="M17" s="25"/>
      <c r="O17" s="25"/>
    </row>
    <row r="18" ht="22.5" customHeight="1">
      <c r="A18" s="16" t="str">
        <f>IFNA(VLOOKUP(B18,Sprites!$A$2:$B$1200,2,FALSE),"")</f>
        <v/>
      </c>
      <c r="B18" s="17" t="s">
        <v>430</v>
      </c>
      <c r="C18" s="8">
        <v>280.0</v>
      </c>
      <c r="D18" s="8" t="s">
        <v>77</v>
      </c>
      <c r="E18" s="18">
        <v>487.0</v>
      </c>
      <c r="F18" s="8">
        <v>4.0</v>
      </c>
      <c r="H18" s="8">
        <v>4.0</v>
      </c>
      <c r="I18" s="19">
        <v>17.0</v>
      </c>
      <c r="M18" s="25"/>
      <c r="O18" s="25"/>
    </row>
    <row r="19" ht="22.5" customHeight="1">
      <c r="A19" s="16" t="str">
        <f>IFNA(VLOOKUP(B19,Sprites!$A$2:$B$1200,2,FALSE),"")</f>
        <v/>
      </c>
      <c r="B19" s="17" t="s">
        <v>390</v>
      </c>
      <c r="C19" s="8">
        <v>350.0</v>
      </c>
      <c r="D19" s="8" t="s">
        <v>117</v>
      </c>
      <c r="E19" s="18">
        <v>525.0</v>
      </c>
      <c r="F19" s="8">
        <v>7.0</v>
      </c>
      <c r="G19" s="8" t="s">
        <v>28</v>
      </c>
      <c r="H19" s="8">
        <v>4.0</v>
      </c>
      <c r="I19" s="19">
        <v>18.0</v>
      </c>
      <c r="M19" s="25"/>
      <c r="O19" s="25"/>
    </row>
    <row r="20" ht="22.5" customHeight="1">
      <c r="A20" s="16" t="str">
        <f>IFNA(VLOOKUP(B20,Sprites!$A$2:$B$1200,2,FALSE),"")</f>
        <v/>
      </c>
      <c r="B20" s="17" t="s">
        <v>166</v>
      </c>
      <c r="C20" s="8">
        <v>300.0</v>
      </c>
      <c r="D20" s="8" t="s">
        <v>77</v>
      </c>
      <c r="E20" s="18">
        <v>390.0</v>
      </c>
      <c r="F20" s="8">
        <v>5.0</v>
      </c>
      <c r="G20" s="8" t="s">
        <v>31</v>
      </c>
      <c r="H20" s="8">
        <v>4.0</v>
      </c>
      <c r="I20" s="19">
        <v>19.0</v>
      </c>
      <c r="M20" s="25"/>
      <c r="O20" s="25"/>
    </row>
    <row r="21" ht="22.5" customHeight="1">
      <c r="A21" s="16" t="str">
        <f>IFNA(VLOOKUP(B21,Sprites!$A$2:$B$1200,2,FALSE),"")</f>
        <v/>
      </c>
      <c r="B21" s="17" t="s">
        <v>431</v>
      </c>
      <c r="C21" s="8">
        <v>410.0</v>
      </c>
      <c r="D21" s="8" t="s">
        <v>113</v>
      </c>
      <c r="E21" s="18">
        <v>510.0</v>
      </c>
      <c r="F21" s="8">
        <v>9.0</v>
      </c>
      <c r="G21" s="8" t="s">
        <v>26</v>
      </c>
      <c r="H21" s="8">
        <v>4.0</v>
      </c>
      <c r="I21" s="19">
        <v>20.0</v>
      </c>
      <c r="M21" s="25"/>
      <c r="O21" s="25"/>
    </row>
    <row r="22" ht="22.5" customHeight="1">
      <c r="A22" s="16" t="str">
        <f>IFNA(VLOOKUP(B22,Sprites!$A$2:$B$1200,2,FALSE),"")</f>
        <v/>
      </c>
      <c r="B22" s="17" t="s">
        <v>326</v>
      </c>
      <c r="C22" s="8">
        <v>385.0</v>
      </c>
      <c r="D22" s="8" t="s">
        <v>69</v>
      </c>
      <c r="E22" s="18">
        <v>510.0</v>
      </c>
      <c r="F22" s="8">
        <v>10.0</v>
      </c>
      <c r="G22" s="8" t="s">
        <v>38</v>
      </c>
      <c r="H22" s="8">
        <v>4.0</v>
      </c>
      <c r="I22" s="19">
        <v>21.0</v>
      </c>
      <c r="M22" s="25"/>
      <c r="O22" s="25"/>
    </row>
    <row r="23" ht="22.5" customHeight="1">
      <c r="A23" s="16" t="str">
        <f>IFNA(VLOOKUP(B23,Sprites!$A$2:$B$1200,2,FALSE),"")</f>
        <v/>
      </c>
      <c r="B23" s="17" t="s">
        <v>328</v>
      </c>
      <c r="C23" s="8">
        <v>300.0</v>
      </c>
      <c r="D23" s="8" t="s">
        <v>90</v>
      </c>
      <c r="E23" s="18">
        <v>410.0</v>
      </c>
      <c r="F23" s="8">
        <v>7.0</v>
      </c>
      <c r="G23" s="8" t="s">
        <v>38</v>
      </c>
      <c r="H23" s="8">
        <v>3.0</v>
      </c>
      <c r="I23" s="19">
        <v>22.0</v>
      </c>
      <c r="M23" s="25"/>
      <c r="O23" s="25"/>
    </row>
    <row r="24" ht="22.5" customHeight="1">
      <c r="A24" s="16" t="str">
        <f>IFNA(VLOOKUP(B24,Sprites!$A$2:$B$1200,2,FALSE),"")</f>
        <v/>
      </c>
      <c r="B24" s="17" t="s">
        <v>74</v>
      </c>
      <c r="C24" s="8">
        <v>325.0</v>
      </c>
      <c r="D24" s="8" t="s">
        <v>75</v>
      </c>
      <c r="E24" s="18">
        <v>475.0</v>
      </c>
      <c r="F24" s="8">
        <v>6.0</v>
      </c>
      <c r="G24" s="8" t="s">
        <v>39</v>
      </c>
      <c r="H24" s="8">
        <v>3.0</v>
      </c>
      <c r="I24" s="19">
        <v>23.0</v>
      </c>
      <c r="M24" s="25"/>
      <c r="O24" s="25"/>
    </row>
    <row r="25" ht="22.5" customHeight="1">
      <c r="A25" s="16" t="str">
        <f>IFNA(VLOOKUP(B25,Sprites!$A$2:$B$1200,2,FALSE),"")</f>
        <v/>
      </c>
      <c r="B25" s="17" t="s">
        <v>432</v>
      </c>
      <c r="C25" s="8">
        <v>270.0</v>
      </c>
      <c r="D25" s="8" t="s">
        <v>87</v>
      </c>
      <c r="E25" s="18">
        <v>355.0</v>
      </c>
      <c r="F25" s="8">
        <v>10.0</v>
      </c>
      <c r="H25" s="8">
        <v>3.0</v>
      </c>
      <c r="I25" s="19">
        <v>24.0</v>
      </c>
      <c r="M25" s="25"/>
      <c r="O25" s="25"/>
    </row>
    <row r="26" ht="22.5" customHeight="1">
      <c r="A26" s="16" t="str">
        <f>IFNA(VLOOKUP(B26,Sprites!$A$2:$B$1200,2,FALSE),"")</f>
        <v/>
      </c>
      <c r="B26" s="17" t="s">
        <v>433</v>
      </c>
      <c r="C26" s="8">
        <v>330.0</v>
      </c>
      <c r="D26" s="8" t="s">
        <v>131</v>
      </c>
      <c r="E26" s="18">
        <v>430.0</v>
      </c>
      <c r="F26" s="8">
        <v>5.0</v>
      </c>
      <c r="G26" s="8" t="s">
        <v>36</v>
      </c>
      <c r="H26" s="8">
        <v>3.0</v>
      </c>
      <c r="I26" s="19">
        <v>25.0</v>
      </c>
      <c r="M26" s="25"/>
      <c r="O26" s="25"/>
    </row>
    <row r="27" ht="22.5" customHeight="1">
      <c r="A27" s="16" t="str">
        <f>IFNA(VLOOKUP(B27,Sprites!$A$2:$B$1200,2,FALSE),"")</f>
        <v/>
      </c>
      <c r="B27" s="17" t="s">
        <v>329</v>
      </c>
      <c r="C27" s="8">
        <v>345.0</v>
      </c>
      <c r="D27" s="8" t="s">
        <v>55</v>
      </c>
      <c r="E27" s="18">
        <v>485.0</v>
      </c>
      <c r="F27" s="8">
        <v>4.0</v>
      </c>
      <c r="G27" s="8" t="s">
        <v>38</v>
      </c>
      <c r="H27" s="8">
        <v>2.0</v>
      </c>
      <c r="I27" s="19">
        <v>26.0</v>
      </c>
      <c r="M27" s="25"/>
      <c r="O27" s="25"/>
    </row>
    <row r="28" ht="22.5" customHeight="1">
      <c r="A28" s="16" t="str">
        <f>IFNA(VLOOKUP(B28,Sprites!$A$2:$B$1200,2,FALSE),"")</f>
        <v/>
      </c>
      <c r="B28" s="17" t="s">
        <v>330</v>
      </c>
      <c r="C28" s="8">
        <v>300.0</v>
      </c>
      <c r="D28" s="8" t="s">
        <v>77</v>
      </c>
      <c r="E28" s="18">
        <v>390.0</v>
      </c>
      <c r="F28" s="8">
        <v>5.0</v>
      </c>
      <c r="G28" s="8" t="s">
        <v>38</v>
      </c>
      <c r="H28" s="8">
        <v>2.0</v>
      </c>
      <c r="I28" s="19">
        <v>27.0</v>
      </c>
      <c r="M28" s="25"/>
      <c r="O28" s="25"/>
    </row>
    <row r="29">
      <c r="A29" s="26" t="str">
        <f>IFNA(VLOOKUP(B29,Sprites!$A$2:$B$1200,2,FALSE),"")</f>
        <v/>
      </c>
      <c r="B29" s="14"/>
      <c r="E29" s="25"/>
      <c r="I29" s="14"/>
      <c r="M29" s="25"/>
      <c r="O29" s="25"/>
    </row>
    <row r="30">
      <c r="A30" s="26" t="str">
        <f>IFNA(VLOOKUP(B30,Sprites!$A$2:$B$1200,2,FALSE),"")</f>
        <v/>
      </c>
      <c r="B30" s="50">
        <v>45673.0</v>
      </c>
      <c r="C30" s="15" t="s">
        <v>434</v>
      </c>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11" t="s">
        <v>40</v>
      </c>
      <c r="B1" s="12" t="s">
        <v>41</v>
      </c>
      <c r="C1" s="12" t="s">
        <v>42</v>
      </c>
      <c r="D1" s="12" t="s">
        <v>43</v>
      </c>
      <c r="E1" s="12" t="s">
        <v>44</v>
      </c>
      <c r="F1" s="12" t="s">
        <v>45</v>
      </c>
      <c r="G1" s="12" t="s">
        <v>46</v>
      </c>
      <c r="H1" s="12" t="s">
        <v>47</v>
      </c>
      <c r="I1" s="13" t="s">
        <v>48</v>
      </c>
      <c r="J1" s="14" t="s">
        <v>49</v>
      </c>
      <c r="K1" s="15">
        <v>17.0</v>
      </c>
    </row>
    <row r="2" ht="22.5" customHeight="1">
      <c r="A2" s="16" t="str">
        <f>IFNA(VLOOKUP(B2,Sprites!$A$2:$B$1200,2,FALSE),"")</f>
        <v/>
      </c>
      <c r="B2" s="17" t="s">
        <v>180</v>
      </c>
      <c r="C2" s="8">
        <v>297.0</v>
      </c>
      <c r="D2" s="8" t="s">
        <v>87</v>
      </c>
      <c r="E2" s="18">
        <v>380.0</v>
      </c>
      <c r="F2" s="8">
        <v>5.0</v>
      </c>
      <c r="G2" s="8" t="s">
        <v>37</v>
      </c>
      <c r="H2" s="8">
        <v>6.0</v>
      </c>
      <c r="I2" s="19">
        <v>1.0</v>
      </c>
      <c r="J2" s="14" t="s">
        <v>19</v>
      </c>
      <c r="K2" s="20">
        <f>SUM(C2:C1000)/K1</f>
        <v>314.0588235</v>
      </c>
    </row>
    <row r="3" ht="22.5" customHeight="1">
      <c r="A3" s="16" t="str">
        <f>IFNA(VLOOKUP(B3,Sprites!$A$2:$B$1200,2,FALSE),"")</f>
        <v/>
      </c>
      <c r="B3" s="17" t="s">
        <v>181</v>
      </c>
      <c r="C3" s="8">
        <v>380.0</v>
      </c>
      <c r="D3" s="8" t="s">
        <v>113</v>
      </c>
      <c r="E3" s="18">
        <v>480.0</v>
      </c>
      <c r="F3" s="8">
        <v>12.0</v>
      </c>
      <c r="G3" s="8" t="s">
        <v>37</v>
      </c>
      <c r="H3" s="8">
        <v>5.0</v>
      </c>
      <c r="I3" s="19">
        <v>2.0</v>
      </c>
      <c r="J3" s="14" t="s">
        <v>20</v>
      </c>
      <c r="K3" s="20">
        <f>SUM(H2:H1000)/K1</f>
        <v>3.647058824</v>
      </c>
    </row>
    <row r="4" ht="22.5" customHeight="1">
      <c r="A4" s="16" t="str">
        <f>IFNA(VLOOKUP(B4,Sprites!$A$2:$B$1200,2,FALSE),"")</f>
        <v/>
      </c>
      <c r="B4" s="17" t="s">
        <v>271</v>
      </c>
      <c r="C4" s="8">
        <v>325.0</v>
      </c>
      <c r="D4" s="8" t="s">
        <v>117</v>
      </c>
      <c r="E4" s="18">
        <v>448.0</v>
      </c>
      <c r="F4" s="8">
        <v>6.0</v>
      </c>
      <c r="G4" s="8" t="s">
        <v>29</v>
      </c>
      <c r="H4" s="8">
        <v>5.0</v>
      </c>
      <c r="I4" s="19">
        <v>3.0</v>
      </c>
      <c r="J4" s="14" t="s">
        <v>56</v>
      </c>
      <c r="K4" s="21">
        <f>COUNTIF(D2:D1000, "Roguestone")</f>
        <v>1</v>
      </c>
    </row>
    <row r="5" ht="22.5" customHeight="1">
      <c r="A5" s="16" t="str">
        <f>IFNA(VLOOKUP(B5,Sprites!$A$2:$B$1200,2,FALSE),"")</f>
        <v/>
      </c>
      <c r="B5" s="17" t="s">
        <v>435</v>
      </c>
      <c r="C5" s="8">
        <v>330.0</v>
      </c>
      <c r="D5" s="8" t="s">
        <v>75</v>
      </c>
      <c r="E5" s="18">
        <v>500.0</v>
      </c>
      <c r="F5" s="8">
        <v>5.0</v>
      </c>
      <c r="H5" s="8">
        <v>5.0</v>
      </c>
      <c r="I5" s="19">
        <v>4.0</v>
      </c>
      <c r="J5" s="14" t="s">
        <v>58</v>
      </c>
      <c r="K5" s="22">
        <f>K4/K1</f>
        <v>0.05882352941</v>
      </c>
    </row>
    <row r="6" ht="22.5" customHeight="1">
      <c r="A6" s="16" t="str">
        <f>IFNA(VLOOKUP(B6,Sprites!$A$2:$B$1200,2,FALSE),"")</f>
        <v/>
      </c>
      <c r="B6" s="17" t="s">
        <v>428</v>
      </c>
      <c r="C6" s="8">
        <v>350.0</v>
      </c>
      <c r="D6" s="8" t="s">
        <v>90</v>
      </c>
      <c r="E6" s="18">
        <v>495.0</v>
      </c>
      <c r="F6" s="8">
        <v>5.0</v>
      </c>
      <c r="G6" s="8" t="s">
        <v>24</v>
      </c>
      <c r="H6" s="8">
        <v>4.0</v>
      </c>
      <c r="I6" s="19">
        <v>5.0</v>
      </c>
      <c r="L6" s="23"/>
      <c r="M6" s="24"/>
      <c r="N6" s="23"/>
      <c r="O6" s="24"/>
    </row>
    <row r="7" ht="22.5" customHeight="1">
      <c r="A7" s="16" t="str">
        <f>IFNA(VLOOKUP(B7,Sprites!$A$2:$B$1200,2,FALSE),"")</f>
        <v/>
      </c>
      <c r="B7" s="17" t="s">
        <v>408</v>
      </c>
      <c r="C7" s="8">
        <v>300.0</v>
      </c>
      <c r="D7" s="8" t="s">
        <v>65</v>
      </c>
      <c r="E7" s="18">
        <v>420.0</v>
      </c>
      <c r="F7" s="8">
        <v>0.0</v>
      </c>
      <c r="G7" s="8" t="s">
        <v>34</v>
      </c>
      <c r="H7" s="8">
        <v>4.0</v>
      </c>
      <c r="I7" s="19">
        <v>6.0</v>
      </c>
      <c r="M7" s="25"/>
      <c r="O7" s="25"/>
    </row>
    <row r="8" ht="22.5" customHeight="1">
      <c r="A8" s="16" t="str">
        <f>IFNA(VLOOKUP(B8,Sprites!$A$2:$B$1200,2,FALSE),"")</f>
        <v/>
      </c>
      <c r="B8" s="17" t="s">
        <v>409</v>
      </c>
      <c r="C8" s="8">
        <v>300.0</v>
      </c>
      <c r="D8" s="8" t="s">
        <v>53</v>
      </c>
      <c r="E8" s="18">
        <v>500.0</v>
      </c>
      <c r="F8" s="8">
        <v>6.0</v>
      </c>
      <c r="G8" s="8" t="s">
        <v>34</v>
      </c>
      <c r="H8" s="8">
        <v>4.0</v>
      </c>
      <c r="I8" s="19">
        <v>7.0</v>
      </c>
      <c r="M8" s="25"/>
      <c r="O8" s="25"/>
    </row>
    <row r="9" ht="22.5" customHeight="1">
      <c r="A9" s="16" t="str">
        <f>IFNA(VLOOKUP(B9,Sprites!$A$2:$B$1200,2,FALSE),"")</f>
        <v/>
      </c>
      <c r="B9" s="17" t="s">
        <v>126</v>
      </c>
      <c r="C9" s="8">
        <v>340.0</v>
      </c>
      <c r="D9" s="8" t="s">
        <v>90</v>
      </c>
      <c r="E9" s="18">
        <v>490.0</v>
      </c>
      <c r="F9" s="8">
        <v>5.0</v>
      </c>
      <c r="G9" s="8" t="s">
        <v>25</v>
      </c>
      <c r="H9" s="8">
        <v>4.0</v>
      </c>
      <c r="I9" s="19">
        <v>8.0</v>
      </c>
      <c r="M9" s="25"/>
      <c r="O9" s="25"/>
    </row>
    <row r="10" ht="22.5" customHeight="1">
      <c r="A10" s="16" t="str">
        <f>IFNA(VLOOKUP(B10,Sprites!$A$2:$B$1200,2,FALSE),"")</f>
        <v/>
      </c>
      <c r="B10" s="17" t="s">
        <v>392</v>
      </c>
      <c r="C10" s="8">
        <v>300.0</v>
      </c>
      <c r="D10" s="8" t="s">
        <v>131</v>
      </c>
      <c r="E10" s="18">
        <v>500.0</v>
      </c>
      <c r="F10" s="8">
        <v>7.0</v>
      </c>
      <c r="G10" s="8" t="s">
        <v>28</v>
      </c>
      <c r="H10" s="8">
        <v>4.0</v>
      </c>
      <c r="I10" s="19">
        <v>9.0</v>
      </c>
      <c r="M10" s="25"/>
      <c r="O10" s="25"/>
    </row>
    <row r="11" ht="22.5" customHeight="1">
      <c r="A11" s="16" t="str">
        <f>IFNA(VLOOKUP(B11,Sprites!$A$2:$B$1200,2,FALSE),"")</f>
        <v/>
      </c>
      <c r="B11" s="17" t="s">
        <v>436</v>
      </c>
      <c r="C11" s="8">
        <v>292.0</v>
      </c>
      <c r="D11" s="8" t="s">
        <v>55</v>
      </c>
      <c r="E11" s="18">
        <v>440.0</v>
      </c>
      <c r="F11" s="8">
        <v>4.0</v>
      </c>
      <c r="H11" s="8">
        <v>3.0</v>
      </c>
      <c r="I11" s="19">
        <v>10.0</v>
      </c>
      <c r="M11" s="25"/>
      <c r="O11" s="25"/>
    </row>
    <row r="12" ht="22.5" customHeight="1">
      <c r="A12" s="16" t="str">
        <f>IFNA(VLOOKUP(B12,Sprites!$A$2:$B$1200,2,FALSE),"")</f>
        <v/>
      </c>
      <c r="B12" s="17" t="s">
        <v>433</v>
      </c>
      <c r="C12" s="8">
        <v>330.0</v>
      </c>
      <c r="D12" s="8" t="s">
        <v>131</v>
      </c>
      <c r="E12" s="18">
        <v>430.0</v>
      </c>
      <c r="F12" s="8">
        <v>5.0</v>
      </c>
      <c r="G12" s="8" t="s">
        <v>24</v>
      </c>
      <c r="H12" s="8">
        <v>3.0</v>
      </c>
      <c r="I12" s="19">
        <v>11.0</v>
      </c>
      <c r="M12" s="25"/>
      <c r="O12" s="25"/>
    </row>
    <row r="13" ht="22.5" customHeight="1">
      <c r="A13" s="16" t="str">
        <f>IFNA(VLOOKUP(B13,Sprites!$A$2:$B$1200,2,FALSE),"")</f>
        <v/>
      </c>
      <c r="B13" s="17" t="s">
        <v>175</v>
      </c>
      <c r="C13" s="8">
        <v>325.0</v>
      </c>
      <c r="D13" s="8" t="s">
        <v>90</v>
      </c>
      <c r="E13" s="18">
        <v>465.0</v>
      </c>
      <c r="F13" s="8">
        <v>5.0</v>
      </c>
      <c r="G13" s="8" t="s">
        <v>31</v>
      </c>
      <c r="H13" s="8">
        <v>3.0</v>
      </c>
      <c r="I13" s="19">
        <v>12.0</v>
      </c>
      <c r="M13" s="25"/>
      <c r="O13" s="25"/>
    </row>
    <row r="14" ht="22.5" customHeight="1">
      <c r="A14" s="16" t="str">
        <f>IFNA(VLOOKUP(B14,Sprites!$A$2:$B$1200,2,FALSE),"")</f>
        <v/>
      </c>
      <c r="B14" s="17" t="s">
        <v>437</v>
      </c>
      <c r="C14" s="8">
        <v>300.0</v>
      </c>
      <c r="D14" s="8" t="s">
        <v>120</v>
      </c>
      <c r="E14" s="18">
        <v>440.0</v>
      </c>
      <c r="F14" s="8">
        <v>7.0</v>
      </c>
      <c r="H14" s="8">
        <v>3.0</v>
      </c>
      <c r="I14" s="19">
        <v>13.0</v>
      </c>
      <c r="M14" s="25"/>
      <c r="O14" s="25"/>
    </row>
    <row r="15" ht="22.5" customHeight="1">
      <c r="A15" s="16" t="str">
        <f>IFNA(VLOOKUP(B15,Sprites!$A$2:$B$1200,2,FALSE),"")</f>
        <v/>
      </c>
      <c r="B15" s="17" t="s">
        <v>327</v>
      </c>
      <c r="C15" s="8">
        <v>265.0</v>
      </c>
      <c r="D15" s="8" t="s">
        <v>168</v>
      </c>
      <c r="E15" s="18">
        <v>405.0</v>
      </c>
      <c r="F15" s="8">
        <v>4.0</v>
      </c>
      <c r="G15" s="8" t="s">
        <v>38</v>
      </c>
      <c r="H15" s="8">
        <v>3.0</v>
      </c>
      <c r="I15" s="19">
        <v>14.0</v>
      </c>
      <c r="M15" s="25"/>
      <c r="O15" s="25"/>
    </row>
    <row r="16" ht="22.5" customHeight="1">
      <c r="A16" s="16" t="str">
        <f>IFNA(VLOOKUP(B16,Sprites!$A$2:$B$1200,2,FALSE),"")</f>
        <v/>
      </c>
      <c r="B16" s="17" t="s">
        <v>307</v>
      </c>
      <c r="C16" s="8">
        <v>305.0</v>
      </c>
      <c r="D16" s="8" t="s">
        <v>51</v>
      </c>
      <c r="E16" s="18">
        <v>489.0</v>
      </c>
      <c r="F16" s="8">
        <v>5.0</v>
      </c>
      <c r="G16" s="8" t="s">
        <v>27</v>
      </c>
      <c r="H16" s="8">
        <v>2.0</v>
      </c>
      <c r="I16" s="19">
        <v>15.0</v>
      </c>
      <c r="M16" s="25"/>
      <c r="O16" s="25"/>
    </row>
    <row r="17" ht="22.5" customHeight="1">
      <c r="A17" s="16" t="str">
        <f>IFNA(VLOOKUP(B17,Sprites!$A$2:$B$1200,2,FALSE),"")</f>
        <v/>
      </c>
      <c r="B17" s="17" t="s">
        <v>347</v>
      </c>
      <c r="C17" s="8">
        <v>300.0</v>
      </c>
      <c r="D17" s="8" t="s">
        <v>69</v>
      </c>
      <c r="E17" s="18">
        <v>450.0</v>
      </c>
      <c r="F17" s="8">
        <v>11.0</v>
      </c>
      <c r="G17" s="8" t="s">
        <v>35</v>
      </c>
      <c r="H17" s="8">
        <v>2.0</v>
      </c>
      <c r="I17" s="19">
        <v>16.0</v>
      </c>
      <c r="M17" s="25"/>
      <c r="O17" s="25"/>
    </row>
    <row r="18" ht="22.5" customHeight="1">
      <c r="A18" s="16" t="str">
        <f>IFNA(VLOOKUP(B18,Sprites!$A$2:$B$1200,2,FALSE),"")</f>
        <v/>
      </c>
      <c r="B18" s="17" t="s">
        <v>438</v>
      </c>
      <c r="C18" s="8">
        <v>300.0</v>
      </c>
      <c r="D18" s="8" t="s">
        <v>113</v>
      </c>
      <c r="E18" s="18">
        <v>400.0</v>
      </c>
      <c r="F18" s="8">
        <v>4.0</v>
      </c>
      <c r="H18" s="8">
        <v>2.0</v>
      </c>
      <c r="I18" s="19">
        <v>17.0</v>
      </c>
      <c r="M18" s="25"/>
      <c r="O18" s="25"/>
    </row>
    <row r="19">
      <c r="A19" s="26" t="str">
        <f>IFNA(VLOOKUP(B19,Sprites!$A$2:$B$1200,2,FALSE),"")</f>
        <v/>
      </c>
      <c r="B19" s="14"/>
      <c r="E19" s="25"/>
      <c r="I19" s="14"/>
      <c r="M19" s="25"/>
      <c r="O19" s="25"/>
    </row>
    <row r="20">
      <c r="A20" s="26" t="str">
        <f>IFNA(VLOOKUP(B20,Sprites!$A$2:$B$1200,2,FALSE),"")</f>
        <v/>
      </c>
      <c r="B20" s="14"/>
      <c r="E20" s="25"/>
      <c r="I20" s="14"/>
      <c r="M20" s="25"/>
      <c r="O20" s="25"/>
    </row>
    <row r="21">
      <c r="A21" s="26" t="str">
        <f>IFNA(VLOOKUP(B21,Sprites!$A$2:$B$1200,2,FALSE),"")</f>
        <v/>
      </c>
      <c r="B21" s="14"/>
      <c r="E21" s="25"/>
      <c r="I21" s="14"/>
      <c r="M21" s="25"/>
      <c r="O21" s="25"/>
    </row>
    <row r="22">
      <c r="A22" s="26" t="str">
        <f>IFNA(VLOOKUP(B22,Sprites!$A$2:$B$1200,2,FALSE),"")</f>
        <v/>
      </c>
      <c r="B22" s="14"/>
      <c r="E22" s="25"/>
      <c r="I22" s="14"/>
      <c r="M22" s="25"/>
      <c r="O22" s="25"/>
    </row>
    <row r="23">
      <c r="A23" s="26" t="str">
        <f>IFNA(VLOOKUP(B23,Sprites!$A$2:$B$1200,2,FALSE),"")</f>
        <v/>
      </c>
      <c r="B23" s="14"/>
      <c r="E23" s="25"/>
      <c r="I23" s="14"/>
      <c r="M23" s="25"/>
      <c r="O23" s="25"/>
    </row>
    <row r="24">
      <c r="A24" s="26" t="str">
        <f>IFNA(VLOOKUP(B24,Sprites!$A$2:$B$1200,2,FALSE),"")</f>
        <v/>
      </c>
      <c r="B24" s="14"/>
      <c r="E24" s="25"/>
      <c r="I24" s="14"/>
      <c r="M24" s="25"/>
      <c r="O24" s="25"/>
    </row>
    <row r="25">
      <c r="A25" s="26" t="str">
        <f>IFNA(VLOOKUP(B25,Sprites!$A$2:$B$1200,2,FALSE),"")</f>
        <v/>
      </c>
      <c r="B25" s="14"/>
      <c r="E25" s="25"/>
      <c r="I25" s="14"/>
      <c r="M25" s="25"/>
      <c r="O25" s="25"/>
    </row>
    <row r="26">
      <c r="A26" s="26" t="str">
        <f>IFNA(VLOOKUP(B26,Sprites!$A$2:$B$1200,2,FALSE),"")</f>
        <v/>
      </c>
      <c r="B26" s="14"/>
      <c r="E26" s="25"/>
      <c r="I26" s="14"/>
      <c r="M26" s="25"/>
      <c r="O26" s="25"/>
    </row>
    <row r="27">
      <c r="A27" s="26" t="str">
        <f>IFNA(VLOOKUP(B27,Sprites!$A$2:$B$1200,2,FALSE),"")</f>
        <v/>
      </c>
      <c r="B27" s="14"/>
      <c r="E27" s="25"/>
      <c r="I27" s="14"/>
      <c r="M27" s="25"/>
      <c r="O27" s="25"/>
    </row>
    <row r="28">
      <c r="A28" s="26" t="str">
        <f>IFNA(VLOOKUP(B28,Sprites!$A$2:$B$1200,2,FALSE),"")</f>
        <v/>
      </c>
      <c r="B28" s="14"/>
      <c r="E28" s="25"/>
      <c r="I28" s="14"/>
      <c r="M28" s="25"/>
      <c r="O28" s="25"/>
    </row>
    <row r="29">
      <c r="A29" s="26" t="str">
        <f>IFNA(VLOOKUP(B29,Sprites!$A$2:$B$1200,2,FALSE),"")</f>
        <v/>
      </c>
      <c r="B29" s="14"/>
      <c r="E29" s="25"/>
      <c r="I29" s="14"/>
      <c r="M29" s="25"/>
      <c r="O29" s="25"/>
    </row>
    <row r="30">
      <c r="A30" s="26" t="str">
        <f>IFNA(VLOOKUP(B30,Sprites!$A$2:$B$1200,2,FALSE),"")</f>
        <v/>
      </c>
      <c r="B30" s="14"/>
      <c r="E30" s="25"/>
      <c r="I30" s="14"/>
      <c r="M30" s="25"/>
      <c r="O30" s="25"/>
    </row>
    <row r="31">
      <c r="A31" s="26" t="str">
        <f>IFNA(VLOOKUP(B31,Sprites!$A$2:$B$1200,2,FALSE),"")</f>
        <v/>
      </c>
      <c r="B31" s="14"/>
      <c r="E31" s="25"/>
      <c r="I31" s="14"/>
      <c r="M31" s="25"/>
      <c r="O31" s="25"/>
    </row>
    <row r="32">
      <c r="A32" s="26" t="str">
        <f>IFNA(VLOOKUP(B32,Sprites!$A$2:$B$1200,2,FALSE),"")</f>
        <v/>
      </c>
      <c r="B32" s="14"/>
      <c r="E32" s="25"/>
      <c r="I32" s="14"/>
      <c r="M32" s="25"/>
      <c r="O32" s="25"/>
    </row>
    <row r="33">
      <c r="A33" s="26" t="str">
        <f>IFNA(VLOOKUP(B33,Sprites!$A$2:$B$1200,2,FALSE),"")</f>
        <v/>
      </c>
      <c r="B33" s="14"/>
      <c r="E33" s="25"/>
      <c r="I33" s="14"/>
      <c r="M33" s="25"/>
      <c r="O33" s="25"/>
    </row>
    <row r="34">
      <c r="A34" s="26" t="str">
        <f>IFNA(VLOOKUP(B34,Sprites!$A$2:$B$1200,2,FALSE),"")</f>
        <v/>
      </c>
      <c r="B34" s="14"/>
      <c r="E34" s="25"/>
      <c r="I34" s="14"/>
      <c r="M34" s="25"/>
      <c r="O34" s="25"/>
    </row>
    <row r="35">
      <c r="A35" s="26" t="str">
        <f>IFNA(VLOOKUP(B35,Sprites!$A$2:$B$1200,2,FALSE),"")</f>
        <v/>
      </c>
      <c r="B35" s="14"/>
      <c r="E35" s="25"/>
      <c r="I35" s="14"/>
      <c r="M35" s="25"/>
      <c r="O35" s="25"/>
    </row>
    <row r="36">
      <c r="A36" s="26" t="str">
        <f>IFNA(VLOOKUP(B36,Sprites!$A$2:$B$1200,2,FALSE),"")</f>
        <v/>
      </c>
      <c r="B36" s="14"/>
      <c r="E36" s="25"/>
      <c r="I36" s="14"/>
      <c r="M36" s="25"/>
      <c r="O36" s="25"/>
    </row>
    <row r="37">
      <c r="A37" s="26" t="str">
        <f>IFNA(VLOOKUP(B37,Sprites!$A$2:$B$1200,2,FALSE),"")</f>
        <v/>
      </c>
      <c r="B37" s="14"/>
      <c r="E37" s="25"/>
      <c r="I37" s="14"/>
      <c r="M37" s="25"/>
      <c r="O37" s="25"/>
    </row>
    <row r="38">
      <c r="A38" s="26" t="str">
        <f>IFNA(VLOOKUP(B38,Sprites!$A$2:$B$1200,2,FALSE),"")</f>
        <v/>
      </c>
      <c r="B38" s="14"/>
      <c r="E38" s="25"/>
      <c r="I38" s="14"/>
      <c r="M38" s="25"/>
      <c r="O38" s="25"/>
    </row>
    <row r="39">
      <c r="A39" s="26" t="str">
        <f>IFNA(VLOOKUP(B39,Sprites!$A$2:$B$1200,2,FALSE),"")</f>
        <v/>
      </c>
      <c r="B39" s="14"/>
      <c r="E39" s="25"/>
      <c r="I39" s="14"/>
      <c r="M39" s="25"/>
      <c r="O39" s="25"/>
    </row>
    <row r="40">
      <c r="A40" s="26" t="str">
        <f>IFNA(VLOOKUP(B40,Sprites!$A$2:$B$1200,2,FALSE),"")</f>
        <v/>
      </c>
      <c r="B40" s="14"/>
      <c r="E40" s="25"/>
      <c r="I40" s="14"/>
      <c r="M40" s="25"/>
      <c r="O40" s="25"/>
    </row>
    <row r="41">
      <c r="A41" s="26" t="str">
        <f>IFNA(VLOOKUP(B41,Sprites!$A$2:$B$1200,2,FALSE),"")</f>
        <v/>
      </c>
      <c r="B41" s="14"/>
      <c r="E41" s="25"/>
      <c r="I41" s="14"/>
      <c r="M41" s="25"/>
      <c r="O41" s="25"/>
    </row>
    <row r="42">
      <c r="A42" s="26" t="str">
        <f>IFNA(VLOOKUP(B42,Sprites!$A$2:$B$1200,2,FALSE),"")</f>
        <v/>
      </c>
      <c r="B42" s="14"/>
      <c r="E42" s="25"/>
      <c r="I42" s="14"/>
      <c r="M42" s="25"/>
      <c r="O42" s="25"/>
    </row>
    <row r="43">
      <c r="A43" s="26" t="str">
        <f>IFNA(VLOOKUP(B43,Sprites!$A$2:$B$1200,2,FALSE),"")</f>
        <v/>
      </c>
      <c r="B43" s="14"/>
      <c r="E43" s="25"/>
      <c r="I43" s="14"/>
      <c r="M43" s="25"/>
      <c r="O43" s="25"/>
    </row>
    <row r="44">
      <c r="A44" s="26" t="str">
        <f>IFNA(VLOOKUP(B44,Sprites!$A$2:$B$1200,2,FALSE),"")</f>
        <v/>
      </c>
      <c r="B44" s="14"/>
      <c r="E44" s="25"/>
      <c r="I44" s="14"/>
      <c r="M44" s="25"/>
      <c r="O44" s="25"/>
    </row>
    <row r="45">
      <c r="A45" s="26" t="str">
        <f>IFNA(VLOOKUP(B45,Sprites!$A$2:$B$1200,2,FALSE),"")</f>
        <v/>
      </c>
      <c r="B45" s="14"/>
      <c r="E45" s="25"/>
      <c r="I45" s="14"/>
      <c r="M45" s="25"/>
      <c r="O45" s="25"/>
    </row>
    <row r="46">
      <c r="A46" s="26" t="str">
        <f>IFNA(VLOOKUP(B46,Sprites!$A$2:$B$1200,2,FALSE),"")</f>
        <v/>
      </c>
      <c r="B46" s="14"/>
      <c r="E46" s="25"/>
      <c r="I46" s="14"/>
      <c r="M46" s="25"/>
      <c r="O46" s="25"/>
    </row>
    <row r="47">
      <c r="A47" s="26" t="str">
        <f>IFNA(VLOOKUP(B47,Sprites!$A$2:$B$1200,2,FALSE),"")</f>
        <v/>
      </c>
      <c r="B47" s="14"/>
      <c r="E47" s="25"/>
      <c r="I47" s="14"/>
      <c r="M47" s="25"/>
      <c r="O47" s="25"/>
    </row>
    <row r="48">
      <c r="A48" s="26" t="str">
        <f>IFNA(VLOOKUP(B48,Sprites!$A$2:$B$1200,2,FALSE),"")</f>
        <v/>
      </c>
      <c r="B48" s="14"/>
      <c r="E48" s="25"/>
      <c r="I48" s="14"/>
      <c r="M48" s="25"/>
      <c r="O48" s="25"/>
    </row>
    <row r="49">
      <c r="A49" s="26" t="str">
        <f>IFNA(VLOOKUP(B49,Sprites!$A$2:$B$1200,2,FALSE),"")</f>
        <v/>
      </c>
      <c r="B49" s="14"/>
      <c r="E49" s="25"/>
      <c r="I49" s="14"/>
      <c r="M49" s="25"/>
      <c r="O49" s="25"/>
    </row>
    <row r="50">
      <c r="A50" s="26" t="str">
        <f>IFNA(VLOOKUP(B50,Sprites!$A$2:$B$1200,2,FALSE),"")</f>
        <v/>
      </c>
      <c r="B50" s="14"/>
      <c r="E50" s="25"/>
      <c r="I50" s="14"/>
      <c r="M50" s="25"/>
      <c r="O50" s="25"/>
    </row>
    <row r="51">
      <c r="A51" s="26" t="str">
        <f>IFNA(VLOOKUP(B51,Sprites!$A$2:$B$1200,2,FALSE),"")</f>
        <v/>
      </c>
      <c r="B51" s="14"/>
      <c r="E51" s="25"/>
      <c r="I51" s="14"/>
      <c r="M51" s="25"/>
      <c r="O51" s="25"/>
    </row>
    <row r="52">
      <c r="A52" s="26" t="str">
        <f>IFNA(VLOOKUP(B52,Sprites!$A$2:$B$1200,2,FALSE),"")</f>
        <v/>
      </c>
      <c r="B52" s="14"/>
      <c r="E52" s="25"/>
      <c r="I52" s="14"/>
      <c r="M52" s="25"/>
      <c r="O52" s="25"/>
    </row>
    <row r="53">
      <c r="A53" s="26" t="str">
        <f>IFNA(VLOOKUP(B53,Sprites!$A$2:$B$1200,2,FALSE),"")</f>
        <v/>
      </c>
      <c r="B53" s="14"/>
      <c r="E53" s="25"/>
      <c r="I53" s="14"/>
      <c r="M53" s="25"/>
      <c r="O53" s="25"/>
    </row>
    <row r="54">
      <c r="A54" s="26" t="str">
        <f>IFNA(VLOOKUP(B54,Sprites!$A$2:$B$1200,2,FALSE),"")</f>
        <v/>
      </c>
      <c r="B54" s="14"/>
      <c r="E54" s="25"/>
      <c r="I54" s="14"/>
      <c r="M54" s="25"/>
      <c r="O54" s="25"/>
    </row>
    <row r="55">
      <c r="A55" s="26" t="str">
        <f>IFNA(VLOOKUP(B55,Sprites!$A$2:$B$1200,2,FALSE),"")</f>
        <v/>
      </c>
      <c r="B55" s="14"/>
      <c r="E55" s="25"/>
      <c r="I55" s="14"/>
      <c r="M55" s="25"/>
      <c r="O55" s="25"/>
    </row>
    <row r="56">
      <c r="A56" s="26" t="str">
        <f>IFNA(VLOOKUP(B56,Sprites!$A$2:$B$1200,2,FALSE),"")</f>
        <v/>
      </c>
      <c r="B56" s="14"/>
      <c r="I56" s="14"/>
      <c r="M56" s="25"/>
      <c r="O56" s="25"/>
    </row>
    <row r="57">
      <c r="A57" s="26" t="str">
        <f>IFNA(VLOOKUP(B57,Sprites!$A$2:$B$1200,2,FALSE),"")</f>
        <v/>
      </c>
      <c r="B57" s="14"/>
      <c r="I57" s="14"/>
      <c r="M57" s="25"/>
      <c r="O57" s="25"/>
    </row>
    <row r="58">
      <c r="A58" s="26" t="str">
        <f>IFNA(VLOOKUP(B58,Sprites!$A$2:$B$1200,2,FALSE),"")</f>
        <v/>
      </c>
      <c r="B58" s="14"/>
      <c r="I58" s="14"/>
      <c r="M58" s="25"/>
      <c r="O58" s="25"/>
    </row>
    <row r="59">
      <c r="A59" s="26" t="str">
        <f>IFNA(VLOOKUP(B59,Sprites!$A$2:$B$1200,2,FALSE),"")</f>
        <v/>
      </c>
      <c r="B59" s="14"/>
      <c r="I59" s="27"/>
      <c r="M59" s="25"/>
      <c r="O59" s="25"/>
    </row>
    <row r="60">
      <c r="A60" s="26" t="str">
        <f>IFNA(VLOOKUP(B60,Sprites!$A$2:$B$1200,2,FALSE),"")</f>
        <v/>
      </c>
      <c r="B60" s="14"/>
      <c r="I60" s="27"/>
      <c r="M60" s="25"/>
      <c r="O60" s="25"/>
    </row>
    <row r="61">
      <c r="A61" s="26" t="str">
        <f>IFNA(VLOOKUP(B61,Sprites!$A$2:$B$1200,2,FALSE),"")</f>
        <v/>
      </c>
      <c r="B61" s="14"/>
      <c r="I61" s="27"/>
    </row>
    <row r="62">
      <c r="A62" s="26" t="str">
        <f>IFNA(VLOOKUP(B62,Sprites!$A$2:$B$1200,2,FALSE),"")</f>
        <v/>
      </c>
      <c r="B62" s="14"/>
      <c r="I62" s="27"/>
    </row>
    <row r="63">
      <c r="A63" s="26" t="str">
        <f>IFNA(VLOOKUP(B63,Sprites!$A$2:$B$1200,2,FALSE),"")</f>
        <v/>
      </c>
      <c r="B63" s="14"/>
      <c r="I63" s="27"/>
    </row>
    <row r="64">
      <c r="A64" s="26" t="str">
        <f>IFNA(VLOOKUP(B64,Sprites!$A$2:$B$1200,2,FALSE),"")</f>
        <v/>
      </c>
      <c r="B64" s="14"/>
      <c r="I64" s="27"/>
    </row>
    <row r="65">
      <c r="A65" s="26" t="str">
        <f>IFNA(VLOOKUP(B65,Sprites!$A$2:$B$1200,2,FALSE),"")</f>
        <v/>
      </c>
      <c r="B65" s="14"/>
      <c r="I65" s="27"/>
    </row>
    <row r="66">
      <c r="A66" s="26" t="str">
        <f>IFNA(VLOOKUP(B66,Sprites!$A$2:$B$1200,2,FALSE),"")</f>
        <v/>
      </c>
      <c r="B66" s="14"/>
      <c r="I66" s="27"/>
    </row>
    <row r="67">
      <c r="A67" s="26" t="str">
        <f>IFNA(VLOOKUP(B67,Sprites!$A$2:$B$1200,2,FALSE),"")</f>
        <v/>
      </c>
      <c r="B67" s="14"/>
      <c r="I67" s="27"/>
    </row>
    <row r="68">
      <c r="A68" s="26" t="str">
        <f>IFNA(VLOOKUP(B68,Sprites!$A$2:$B$1200,2,FALSE),"")</f>
        <v/>
      </c>
      <c r="B68" s="14"/>
      <c r="I68" s="27"/>
    </row>
    <row r="69">
      <c r="A69" s="26" t="str">
        <f>IFNA(VLOOKUP(B69,Sprites!$A$2:$B$1200,2,FALSE),"")</f>
        <v/>
      </c>
      <c r="B69" s="14"/>
      <c r="I69" s="27"/>
    </row>
    <row r="70">
      <c r="A70" s="26" t="str">
        <f>IFNA(VLOOKUP(B70,Sprites!$A$2:$B$1200,2,FALSE),"")</f>
        <v/>
      </c>
      <c r="B70" s="14"/>
      <c r="I70" s="27"/>
    </row>
    <row r="71">
      <c r="A71" s="26" t="str">
        <f>IFNA(VLOOKUP(B71,Sprites!$A$2:$B$1200,2,FALSE),"")</f>
        <v/>
      </c>
      <c r="B71" s="14"/>
      <c r="I71" s="27"/>
    </row>
    <row r="72">
      <c r="A72" s="26" t="str">
        <f>IFNA(VLOOKUP(B72,Sprites!$A$2:$B$1200,2,FALSE),"")</f>
        <v/>
      </c>
      <c r="B72" s="14"/>
      <c r="I72" s="27"/>
    </row>
    <row r="73">
      <c r="A73" s="26" t="str">
        <f>IFNA(VLOOKUP(B73,Sprites!$A$2:$B$1200,2,FALSE),"")</f>
        <v/>
      </c>
      <c r="B73" s="14"/>
      <c r="I73" s="27"/>
    </row>
    <row r="74">
      <c r="A74" s="26" t="str">
        <f>IFNA(VLOOKUP(B74,Sprites!$A$2:$B$1200,2,FALSE),"")</f>
        <v/>
      </c>
      <c r="B74" s="14"/>
      <c r="I74" s="27"/>
    </row>
    <row r="75">
      <c r="A75" s="26" t="str">
        <f>IFNA(VLOOKUP(B75,Sprites!$A$2:$B$1200,2,FALSE),"")</f>
        <v/>
      </c>
      <c r="B75" s="14"/>
      <c r="I75" s="27"/>
    </row>
    <row r="76">
      <c r="A76" s="26" t="str">
        <f>IFNA(VLOOKUP(B76,Sprites!$A$2:$B$1200,2,FALSE),"")</f>
        <v/>
      </c>
      <c r="B76" s="14"/>
      <c r="I76" s="27"/>
    </row>
    <row r="77">
      <c r="A77" s="26" t="str">
        <f>IFNA(VLOOKUP(B77,Sprites!$A$2:$B$1200,2,FALSE),"")</f>
        <v/>
      </c>
      <c r="B77" s="14"/>
      <c r="I77" s="27"/>
    </row>
    <row r="78">
      <c r="A78" s="26" t="str">
        <f>IFNA(VLOOKUP(B78,Sprites!$A$2:$B$1200,2,FALSE),"")</f>
        <v/>
      </c>
      <c r="B78" s="14"/>
      <c r="I78" s="27"/>
    </row>
    <row r="79">
      <c r="A79" s="26" t="str">
        <f>IFNA(VLOOKUP(B79,Sprites!$A$2:$B$1200,2,FALSE),"")</f>
        <v/>
      </c>
      <c r="B79" s="14"/>
      <c r="I79" s="27"/>
    </row>
    <row r="80">
      <c r="A80" s="26" t="str">
        <f>IFNA(VLOOKUP(B80,Sprites!$A$2:$B$1200,2,FALSE),"")</f>
        <v/>
      </c>
      <c r="B80" s="14"/>
      <c r="I80" s="27"/>
    </row>
    <row r="81">
      <c r="A81" s="26" t="str">
        <f>IFNA(VLOOKUP(B81,Sprites!$A$2:$B$1200,2,FALSE),"")</f>
        <v/>
      </c>
      <c r="B81" s="14"/>
      <c r="I81" s="27"/>
    </row>
    <row r="82">
      <c r="A82" s="26" t="str">
        <f>IFNA(VLOOKUP(B82,Sprites!$A$2:$B$1200,2,FALSE),"")</f>
        <v/>
      </c>
      <c r="B82" s="14"/>
      <c r="I82" s="27"/>
    </row>
    <row r="83">
      <c r="A83" s="26" t="str">
        <f>IFNA(VLOOKUP(B83,Sprites!$A$2:$B$1200,2,FALSE),"")</f>
        <v/>
      </c>
      <c r="B83" s="14"/>
      <c r="I83" s="27"/>
    </row>
    <row r="84">
      <c r="A84" s="26" t="str">
        <f>IFNA(VLOOKUP(B84,Sprites!$A$2:$B$1200,2,FALSE),"")</f>
        <v/>
      </c>
      <c r="B84" s="14"/>
      <c r="I84" s="27"/>
    </row>
    <row r="85">
      <c r="A85" s="26" t="str">
        <f>IFNA(VLOOKUP(B85,Sprites!$A$2:$B$1200,2,FALSE),"")</f>
        <v/>
      </c>
      <c r="B85" s="14"/>
      <c r="I85" s="27"/>
    </row>
    <row r="86">
      <c r="A86" s="26" t="str">
        <f>IFNA(VLOOKUP(B86,Sprites!$A$2:$B$1200,2,FALSE),"")</f>
        <v/>
      </c>
      <c r="B86" s="14"/>
      <c r="I86" s="27"/>
    </row>
    <row r="87">
      <c r="A87" s="26" t="str">
        <f>IFNA(VLOOKUP(B87,Sprites!$A$2:$B$1200,2,FALSE),"")</f>
        <v/>
      </c>
      <c r="B87" s="14"/>
      <c r="I87" s="27"/>
    </row>
    <row r="88">
      <c r="A88" s="26" t="str">
        <f>IFNA(VLOOKUP(B88,Sprites!$A$2:$B$1200,2,FALSE),"")</f>
        <v/>
      </c>
      <c r="B88" s="14"/>
      <c r="I88" s="27"/>
    </row>
    <row r="89">
      <c r="A89" s="28"/>
      <c r="B89" s="27"/>
      <c r="I89" s="27"/>
    </row>
    <row r="90">
      <c r="A90" s="28"/>
      <c r="B90" s="27"/>
      <c r="I90" s="27"/>
    </row>
    <row r="91">
      <c r="A91" s="28"/>
      <c r="B91" s="27"/>
      <c r="I91" s="27"/>
    </row>
    <row r="92">
      <c r="A92" s="28"/>
      <c r="B92" s="27"/>
      <c r="I92" s="27"/>
    </row>
    <row r="93">
      <c r="A93" s="28"/>
      <c r="B93" s="27"/>
      <c r="I93" s="27"/>
    </row>
    <row r="94">
      <c r="A94" s="28"/>
      <c r="B94" s="27"/>
      <c r="I94" s="27"/>
    </row>
    <row r="95">
      <c r="A95" s="28"/>
      <c r="B95" s="27"/>
      <c r="I95" s="27"/>
    </row>
    <row r="96">
      <c r="A96" s="28"/>
      <c r="B96" s="27"/>
      <c r="I96" s="27"/>
    </row>
    <row r="97">
      <c r="A97" s="28"/>
      <c r="B97" s="27"/>
      <c r="I97" s="27"/>
    </row>
    <row r="98">
      <c r="A98" s="28"/>
      <c r="B98" s="27"/>
      <c r="I98" s="27"/>
    </row>
    <row r="99">
      <c r="A99" s="28"/>
      <c r="B99" s="27"/>
      <c r="I99" s="27"/>
    </row>
    <row r="100">
      <c r="A100" s="28"/>
      <c r="B100" s="27"/>
      <c r="I100" s="27"/>
    </row>
    <row r="101">
      <c r="A101" s="28"/>
      <c r="B101" s="27"/>
      <c r="I101" s="27"/>
    </row>
    <row r="102">
      <c r="A102" s="28"/>
      <c r="B102" s="27"/>
      <c r="I102" s="27"/>
    </row>
    <row r="103">
      <c r="A103" s="28"/>
      <c r="B103" s="27"/>
      <c r="I103" s="27"/>
    </row>
    <row r="104">
      <c r="A104" s="28"/>
      <c r="B104" s="27"/>
      <c r="I104" s="27"/>
    </row>
    <row r="105">
      <c r="A105" s="28"/>
      <c r="B105" s="27"/>
      <c r="I105" s="27"/>
    </row>
    <row r="106">
      <c r="A106" s="28"/>
      <c r="B106" s="27"/>
      <c r="I106" s="27"/>
    </row>
    <row r="107">
      <c r="A107" s="28"/>
      <c r="B107" s="27"/>
      <c r="I107" s="27"/>
    </row>
    <row r="108">
      <c r="A108" s="28"/>
      <c r="B108" s="27"/>
      <c r="I108" s="27"/>
    </row>
    <row r="109">
      <c r="A109" s="28"/>
      <c r="B109" s="27"/>
      <c r="I109" s="27"/>
    </row>
    <row r="110">
      <c r="A110" s="28"/>
      <c r="B110" s="27"/>
      <c r="I110" s="27"/>
    </row>
    <row r="111">
      <c r="A111" s="28"/>
      <c r="B111" s="27"/>
      <c r="I111" s="27"/>
    </row>
    <row r="112">
      <c r="A112" s="28"/>
      <c r="B112" s="27"/>
      <c r="I112" s="27"/>
    </row>
    <row r="113">
      <c r="A113" s="28"/>
      <c r="B113" s="27"/>
      <c r="I113" s="27"/>
    </row>
    <row r="114">
      <c r="A114" s="28"/>
      <c r="B114" s="27"/>
      <c r="I114" s="27"/>
    </row>
    <row r="115">
      <c r="A115" s="28"/>
      <c r="B115" s="27"/>
      <c r="I115" s="27"/>
    </row>
    <row r="116">
      <c r="A116" s="28"/>
      <c r="B116" s="27"/>
      <c r="I116" s="27"/>
    </row>
    <row r="117">
      <c r="A117" s="28"/>
      <c r="B117" s="27"/>
      <c r="I117" s="27"/>
    </row>
    <row r="118">
      <c r="A118" s="28"/>
      <c r="B118" s="27"/>
      <c r="I118" s="27"/>
    </row>
    <row r="119">
      <c r="A119" s="28"/>
      <c r="B119" s="27"/>
      <c r="I119" s="27"/>
    </row>
    <row r="120">
      <c r="A120" s="28"/>
      <c r="B120" s="27"/>
      <c r="I120" s="27"/>
    </row>
    <row r="121">
      <c r="A121" s="28"/>
      <c r="B121" s="27"/>
      <c r="I121" s="27"/>
    </row>
    <row r="122">
      <c r="A122" s="28"/>
      <c r="B122" s="27"/>
      <c r="I122" s="27"/>
    </row>
    <row r="123">
      <c r="A123" s="28"/>
      <c r="B123" s="27"/>
      <c r="I123" s="27"/>
    </row>
    <row r="124">
      <c r="A124" s="28"/>
      <c r="B124" s="27"/>
      <c r="I124" s="27"/>
    </row>
    <row r="125">
      <c r="A125" s="28"/>
      <c r="B125" s="27"/>
      <c r="I125" s="27"/>
    </row>
    <row r="126">
      <c r="A126" s="28"/>
      <c r="B126" s="27"/>
      <c r="I126" s="27"/>
    </row>
    <row r="127">
      <c r="A127" s="28"/>
      <c r="B127" s="27"/>
      <c r="I127" s="27"/>
    </row>
    <row r="128">
      <c r="A128" s="28"/>
      <c r="B128" s="27"/>
      <c r="I128" s="27"/>
    </row>
    <row r="129">
      <c r="A129" s="28"/>
      <c r="B129" s="27"/>
      <c r="I129" s="27"/>
    </row>
    <row r="130">
      <c r="A130" s="28"/>
      <c r="B130" s="27"/>
      <c r="I130" s="27"/>
    </row>
    <row r="131">
      <c r="A131" s="28"/>
      <c r="B131" s="27"/>
      <c r="I131" s="27"/>
    </row>
    <row r="132">
      <c r="A132" s="28"/>
      <c r="B132" s="27"/>
      <c r="I132" s="27"/>
    </row>
    <row r="133">
      <c r="A133" s="28"/>
      <c r="B133" s="27"/>
      <c r="I133" s="27"/>
    </row>
    <row r="134">
      <c r="A134" s="28"/>
      <c r="B134" s="27"/>
      <c r="I134" s="27"/>
    </row>
    <row r="135">
      <c r="A135" s="28"/>
      <c r="B135" s="27"/>
      <c r="I135" s="27"/>
    </row>
    <row r="136">
      <c r="A136" s="28"/>
      <c r="B136" s="27"/>
      <c r="I136" s="27"/>
    </row>
    <row r="137">
      <c r="A137" s="28"/>
      <c r="B137" s="27"/>
      <c r="I137" s="27"/>
    </row>
    <row r="138">
      <c r="A138" s="28"/>
      <c r="B138" s="27"/>
      <c r="I138" s="27"/>
    </row>
    <row r="139">
      <c r="A139" s="28"/>
      <c r="B139" s="27"/>
      <c r="I139" s="27"/>
    </row>
    <row r="140">
      <c r="A140" s="28"/>
      <c r="B140" s="27"/>
      <c r="I140" s="27"/>
    </row>
    <row r="141">
      <c r="A141" s="28"/>
      <c r="B141" s="27"/>
      <c r="I141" s="27"/>
    </row>
    <row r="142">
      <c r="A142" s="28"/>
      <c r="B142" s="27"/>
      <c r="I142" s="27"/>
    </row>
    <row r="143">
      <c r="A143" s="28"/>
      <c r="B143" s="27"/>
      <c r="I143" s="27"/>
    </row>
    <row r="144">
      <c r="A144" s="28"/>
      <c r="B144" s="27"/>
      <c r="I144" s="27"/>
    </row>
    <row r="145">
      <c r="A145" s="28"/>
      <c r="B145" s="27"/>
      <c r="I145" s="27"/>
    </row>
    <row r="146">
      <c r="A146" s="28"/>
      <c r="B146" s="27"/>
      <c r="I146" s="27"/>
    </row>
    <row r="147">
      <c r="A147" s="28"/>
      <c r="B147" s="27"/>
      <c r="I147" s="27"/>
    </row>
    <row r="148">
      <c r="A148" s="28"/>
      <c r="B148" s="27"/>
      <c r="I148" s="27"/>
    </row>
    <row r="149">
      <c r="A149" s="28"/>
      <c r="B149" s="27"/>
      <c r="I149" s="27"/>
    </row>
    <row r="150">
      <c r="A150" s="28"/>
      <c r="B150" s="27"/>
      <c r="I150" s="27"/>
    </row>
    <row r="151">
      <c r="A151" s="28"/>
      <c r="B151" s="27"/>
      <c r="I151" s="27"/>
    </row>
    <row r="152">
      <c r="A152" s="28"/>
      <c r="B152" s="27"/>
      <c r="I152" s="27"/>
    </row>
    <row r="153">
      <c r="A153" s="28"/>
      <c r="B153" s="27"/>
      <c r="I153" s="27"/>
    </row>
    <row r="154">
      <c r="A154" s="28"/>
      <c r="B154" s="27"/>
      <c r="I154" s="27"/>
    </row>
    <row r="155">
      <c r="A155" s="28"/>
      <c r="B155" s="27"/>
      <c r="I155" s="27"/>
    </row>
    <row r="156">
      <c r="A156" s="28"/>
      <c r="B156" s="27"/>
      <c r="I156" s="27"/>
    </row>
    <row r="157">
      <c r="A157" s="28"/>
      <c r="B157" s="27"/>
      <c r="I157" s="27"/>
    </row>
    <row r="158">
      <c r="A158" s="28"/>
      <c r="B158" s="27"/>
      <c r="I158" s="27"/>
    </row>
    <row r="159">
      <c r="A159" s="28"/>
      <c r="B159" s="27"/>
      <c r="I159" s="27"/>
    </row>
    <row r="160">
      <c r="A160" s="28"/>
      <c r="B160" s="27"/>
      <c r="I160" s="27"/>
    </row>
    <row r="161">
      <c r="A161" s="28"/>
      <c r="B161" s="27"/>
      <c r="I161" s="27"/>
    </row>
    <row r="162">
      <c r="A162" s="28"/>
      <c r="B162" s="27"/>
      <c r="I162" s="27"/>
    </row>
    <row r="163">
      <c r="A163" s="28"/>
      <c r="B163" s="27"/>
      <c r="I163" s="27"/>
    </row>
    <row r="164">
      <c r="A164" s="28"/>
      <c r="B164" s="27"/>
      <c r="I164" s="27"/>
    </row>
    <row r="165">
      <c r="A165" s="28"/>
      <c r="B165" s="27"/>
      <c r="I165" s="27"/>
    </row>
    <row r="166">
      <c r="A166" s="28"/>
      <c r="B166" s="27"/>
      <c r="I166" s="27"/>
    </row>
    <row r="167">
      <c r="A167" s="28"/>
      <c r="B167" s="27"/>
      <c r="I167" s="27"/>
    </row>
    <row r="168">
      <c r="A168" s="28"/>
      <c r="B168" s="27"/>
      <c r="I168" s="27"/>
    </row>
    <row r="169">
      <c r="A169" s="28"/>
      <c r="B169" s="27"/>
      <c r="I169" s="27"/>
    </row>
    <row r="170">
      <c r="A170" s="28"/>
      <c r="B170" s="27"/>
      <c r="I170" s="27"/>
    </row>
    <row r="171">
      <c r="A171" s="28"/>
      <c r="B171" s="27"/>
      <c r="I171" s="27"/>
    </row>
    <row r="172">
      <c r="A172" s="28"/>
      <c r="B172" s="27"/>
      <c r="I172" s="27"/>
    </row>
    <row r="173">
      <c r="A173" s="28"/>
      <c r="B173" s="27"/>
      <c r="I173" s="27"/>
    </row>
    <row r="174">
      <c r="A174" s="28"/>
      <c r="B174" s="27"/>
      <c r="I174" s="27"/>
    </row>
    <row r="175">
      <c r="A175" s="28"/>
      <c r="B175" s="27"/>
      <c r="I175" s="27"/>
    </row>
    <row r="176">
      <c r="A176" s="28"/>
      <c r="B176" s="27"/>
      <c r="I176" s="27"/>
    </row>
    <row r="177">
      <c r="A177" s="28"/>
      <c r="B177" s="27"/>
      <c r="I177" s="27"/>
    </row>
    <row r="178">
      <c r="A178" s="28"/>
      <c r="B178" s="27"/>
      <c r="I178" s="27"/>
    </row>
    <row r="179">
      <c r="A179" s="28"/>
      <c r="B179" s="27"/>
      <c r="I179" s="27"/>
    </row>
    <row r="180">
      <c r="A180" s="28"/>
      <c r="B180" s="27"/>
      <c r="I180" s="27"/>
    </row>
    <row r="181">
      <c r="A181" s="28"/>
      <c r="B181" s="27"/>
      <c r="I181" s="27"/>
    </row>
    <row r="182">
      <c r="A182" s="28"/>
      <c r="B182" s="27"/>
      <c r="I182" s="27"/>
    </row>
    <row r="183">
      <c r="A183" s="28"/>
      <c r="B183" s="27"/>
      <c r="I183" s="27"/>
    </row>
    <row r="184">
      <c r="A184" s="28"/>
      <c r="B184" s="27"/>
      <c r="I184" s="27"/>
    </row>
    <row r="185">
      <c r="A185" s="28"/>
      <c r="B185" s="27"/>
      <c r="I185" s="27"/>
    </row>
    <row r="186">
      <c r="A186" s="28"/>
      <c r="B186" s="27"/>
      <c r="I186" s="27"/>
    </row>
    <row r="187">
      <c r="A187" s="28"/>
      <c r="B187" s="27"/>
      <c r="I187" s="27"/>
    </row>
    <row r="188">
      <c r="A188" s="28"/>
      <c r="B188" s="27"/>
      <c r="I188" s="27"/>
    </row>
    <row r="189">
      <c r="A189" s="28"/>
      <c r="B189" s="27"/>
      <c r="I189" s="27"/>
    </row>
    <row r="190">
      <c r="A190" s="28"/>
      <c r="B190" s="27"/>
      <c r="I190" s="27"/>
    </row>
    <row r="191">
      <c r="A191" s="28"/>
      <c r="B191" s="27"/>
      <c r="I191" s="27"/>
    </row>
    <row r="192">
      <c r="A192" s="28"/>
      <c r="B192" s="27"/>
      <c r="I192" s="27"/>
    </row>
    <row r="193">
      <c r="A193" s="28"/>
      <c r="B193" s="27"/>
      <c r="I193" s="27"/>
    </row>
    <row r="194">
      <c r="A194" s="28"/>
      <c r="B194" s="27"/>
      <c r="I194" s="27"/>
    </row>
    <row r="195">
      <c r="A195" s="28"/>
      <c r="B195" s="27"/>
      <c r="I195" s="27"/>
    </row>
    <row r="196">
      <c r="A196" s="28"/>
      <c r="B196" s="27"/>
      <c r="I196" s="27"/>
    </row>
    <row r="197">
      <c r="A197" s="28"/>
      <c r="B197" s="27"/>
      <c r="I197" s="27"/>
    </row>
    <row r="198">
      <c r="A198" s="28"/>
      <c r="B198" s="27"/>
      <c r="I198" s="27"/>
    </row>
    <row r="199">
      <c r="A199" s="28"/>
      <c r="B199" s="27"/>
      <c r="I199" s="27"/>
    </row>
    <row r="200">
      <c r="A200" s="28"/>
      <c r="B200" s="27"/>
      <c r="I200" s="27"/>
    </row>
    <row r="201">
      <c r="A201" s="28"/>
      <c r="B201" s="27"/>
      <c r="I201" s="27"/>
    </row>
    <row r="202">
      <c r="A202" s="28"/>
      <c r="B202" s="27"/>
      <c r="I202" s="27"/>
    </row>
    <row r="203">
      <c r="A203" s="28"/>
      <c r="B203" s="27"/>
      <c r="I203" s="27"/>
    </row>
    <row r="204">
      <c r="A204" s="28"/>
      <c r="B204" s="27"/>
      <c r="I204" s="27"/>
    </row>
    <row r="205">
      <c r="A205" s="28"/>
      <c r="B205" s="27"/>
      <c r="I205" s="27"/>
    </row>
    <row r="206">
      <c r="A206" s="28"/>
      <c r="B206" s="27"/>
      <c r="I206" s="27"/>
    </row>
    <row r="207">
      <c r="A207" s="28"/>
      <c r="B207" s="27"/>
      <c r="I207" s="27"/>
    </row>
    <row r="208">
      <c r="A208" s="28"/>
      <c r="B208" s="27"/>
      <c r="I208" s="27"/>
    </row>
    <row r="209">
      <c r="A209" s="28"/>
      <c r="B209" s="27"/>
      <c r="I209" s="27"/>
    </row>
    <row r="210">
      <c r="A210" s="28"/>
      <c r="B210" s="27"/>
      <c r="I210" s="27"/>
    </row>
    <row r="211">
      <c r="A211" s="28"/>
      <c r="B211" s="27"/>
      <c r="I211" s="27"/>
    </row>
    <row r="212">
      <c r="A212" s="28"/>
      <c r="B212" s="27"/>
      <c r="I212" s="27"/>
    </row>
    <row r="213">
      <c r="A213" s="28"/>
      <c r="B213" s="27"/>
      <c r="I213" s="27"/>
    </row>
    <row r="214">
      <c r="A214" s="28"/>
      <c r="B214" s="27"/>
      <c r="I214" s="27"/>
    </row>
    <row r="215">
      <c r="A215" s="28"/>
      <c r="B215" s="27"/>
      <c r="I215" s="27"/>
    </row>
    <row r="216">
      <c r="A216" s="28"/>
      <c r="B216" s="27"/>
      <c r="I216" s="27"/>
    </row>
    <row r="217">
      <c r="A217" s="28"/>
      <c r="B217" s="27"/>
      <c r="I217" s="27"/>
    </row>
    <row r="218">
      <c r="A218" s="28"/>
      <c r="B218" s="27"/>
      <c r="I218" s="27"/>
    </row>
    <row r="219">
      <c r="A219" s="28"/>
      <c r="B219" s="27"/>
      <c r="I219" s="27"/>
    </row>
    <row r="220">
      <c r="A220" s="28"/>
      <c r="B220" s="27"/>
      <c r="I220" s="27"/>
    </row>
    <row r="221">
      <c r="A221" s="28"/>
      <c r="B221" s="27"/>
      <c r="I221" s="27"/>
    </row>
    <row r="222">
      <c r="A222" s="28"/>
      <c r="B222" s="27"/>
      <c r="I222" s="27"/>
    </row>
    <row r="223">
      <c r="A223" s="28"/>
      <c r="B223" s="27"/>
      <c r="I223" s="27"/>
    </row>
    <row r="224">
      <c r="A224" s="28"/>
      <c r="B224" s="27"/>
      <c r="I224" s="27"/>
    </row>
    <row r="225">
      <c r="A225" s="28"/>
      <c r="B225" s="27"/>
      <c r="I225" s="27"/>
    </row>
    <row r="226">
      <c r="A226" s="28"/>
      <c r="B226" s="27"/>
      <c r="I226" s="27"/>
    </row>
    <row r="227">
      <c r="A227" s="28"/>
      <c r="B227" s="27"/>
      <c r="I227" s="27"/>
    </row>
    <row r="228">
      <c r="A228" s="28"/>
      <c r="B228" s="27"/>
      <c r="I228" s="27"/>
    </row>
    <row r="229">
      <c r="A229" s="28"/>
      <c r="B229" s="27"/>
      <c r="I229" s="27"/>
    </row>
    <row r="230">
      <c r="A230" s="28"/>
      <c r="B230" s="27"/>
      <c r="I230" s="27"/>
    </row>
    <row r="231">
      <c r="A231" s="28"/>
      <c r="B231" s="27"/>
      <c r="I231" s="27"/>
    </row>
    <row r="232">
      <c r="A232" s="28"/>
      <c r="B232" s="27"/>
      <c r="I232" s="27"/>
    </row>
    <row r="233">
      <c r="A233" s="28"/>
      <c r="B233" s="27"/>
      <c r="I233" s="27"/>
    </row>
    <row r="234">
      <c r="A234" s="28"/>
      <c r="B234" s="27"/>
      <c r="I234" s="27"/>
    </row>
    <row r="235">
      <c r="A235" s="28"/>
      <c r="B235" s="27"/>
      <c r="I235" s="27"/>
    </row>
    <row r="236">
      <c r="A236" s="28"/>
      <c r="B236" s="27"/>
      <c r="I236" s="27"/>
    </row>
    <row r="237">
      <c r="A237" s="28"/>
      <c r="B237" s="27"/>
      <c r="I237" s="27"/>
    </row>
    <row r="238">
      <c r="A238" s="28"/>
      <c r="B238" s="27"/>
      <c r="I238" s="27"/>
    </row>
    <row r="239">
      <c r="A239" s="28"/>
      <c r="B239" s="27"/>
      <c r="I239" s="27"/>
    </row>
    <row r="240">
      <c r="A240" s="28"/>
      <c r="B240" s="27"/>
      <c r="I240" s="27"/>
    </row>
    <row r="241">
      <c r="A241" s="28"/>
      <c r="B241" s="27"/>
      <c r="I241" s="27"/>
    </row>
    <row r="242">
      <c r="A242" s="28"/>
      <c r="B242" s="27"/>
      <c r="I242" s="27"/>
    </row>
    <row r="243">
      <c r="A243" s="28"/>
      <c r="B243" s="27"/>
      <c r="I243" s="27"/>
    </row>
    <row r="244">
      <c r="A244" s="28"/>
      <c r="B244" s="27"/>
      <c r="I244" s="27"/>
    </row>
    <row r="245">
      <c r="A245" s="28"/>
      <c r="B245" s="27"/>
      <c r="I245" s="27"/>
    </row>
    <row r="246">
      <c r="A246" s="28"/>
      <c r="B246" s="27"/>
      <c r="I246" s="27"/>
    </row>
    <row r="247">
      <c r="A247" s="28"/>
      <c r="B247" s="27"/>
      <c r="I247" s="27"/>
    </row>
    <row r="248">
      <c r="A248" s="28"/>
      <c r="B248" s="27"/>
      <c r="I248" s="27"/>
    </row>
    <row r="249">
      <c r="A249" s="28"/>
      <c r="B249" s="27"/>
      <c r="I249" s="27"/>
    </row>
    <row r="250">
      <c r="A250" s="28"/>
      <c r="B250" s="27"/>
      <c r="I250" s="27"/>
    </row>
    <row r="251">
      <c r="A251" s="28"/>
      <c r="B251" s="27"/>
      <c r="I251" s="27"/>
    </row>
    <row r="252">
      <c r="A252" s="28"/>
      <c r="B252" s="27"/>
      <c r="I252" s="27"/>
    </row>
    <row r="253">
      <c r="A253" s="28"/>
      <c r="B253" s="27"/>
      <c r="I253" s="27"/>
    </row>
    <row r="254">
      <c r="A254" s="28"/>
      <c r="B254" s="27"/>
      <c r="I254" s="27"/>
    </row>
    <row r="255">
      <c r="A255" s="28"/>
      <c r="B255" s="27"/>
      <c r="I255" s="27"/>
    </row>
    <row r="256">
      <c r="A256" s="28"/>
      <c r="B256" s="27"/>
      <c r="I256" s="27"/>
    </row>
    <row r="257">
      <c r="A257" s="28"/>
      <c r="B257" s="27"/>
      <c r="I257" s="27"/>
    </row>
    <row r="258">
      <c r="A258" s="28"/>
      <c r="B258" s="27"/>
      <c r="I258" s="27"/>
    </row>
    <row r="259">
      <c r="A259" s="28"/>
      <c r="B259" s="27"/>
      <c r="I259" s="27"/>
    </row>
    <row r="260">
      <c r="A260" s="28"/>
      <c r="B260" s="27"/>
      <c r="I260" s="27"/>
    </row>
    <row r="261">
      <c r="A261" s="28"/>
      <c r="B261" s="27"/>
      <c r="I261" s="27"/>
    </row>
    <row r="262">
      <c r="A262" s="28"/>
      <c r="B262" s="27"/>
      <c r="I262" s="27"/>
    </row>
    <row r="263">
      <c r="A263" s="28"/>
      <c r="B263" s="27"/>
      <c r="I263" s="27"/>
    </row>
    <row r="264">
      <c r="A264" s="28"/>
      <c r="B264" s="27"/>
      <c r="I264" s="27"/>
    </row>
    <row r="265">
      <c r="A265" s="28"/>
      <c r="B265" s="27"/>
      <c r="I265" s="27"/>
    </row>
    <row r="266">
      <c r="A266" s="28"/>
      <c r="B266" s="27"/>
      <c r="I266" s="27"/>
    </row>
    <row r="267">
      <c r="A267" s="28"/>
      <c r="B267" s="27"/>
      <c r="I267" s="27"/>
    </row>
    <row r="268">
      <c r="A268" s="28"/>
      <c r="B268" s="27"/>
      <c r="I268" s="27"/>
    </row>
    <row r="269">
      <c r="A269" s="28"/>
      <c r="B269" s="27"/>
      <c r="I269" s="27"/>
    </row>
    <row r="270">
      <c r="A270" s="28"/>
      <c r="B270" s="27"/>
      <c r="I270" s="27"/>
    </row>
    <row r="271">
      <c r="A271" s="28"/>
      <c r="B271" s="27"/>
      <c r="I271" s="27"/>
    </row>
    <row r="272">
      <c r="A272" s="28"/>
      <c r="B272" s="27"/>
      <c r="I272" s="27"/>
    </row>
    <row r="273">
      <c r="A273" s="28"/>
      <c r="B273" s="27"/>
      <c r="I273" s="27"/>
    </row>
    <row r="274">
      <c r="A274" s="28"/>
      <c r="B274" s="27"/>
      <c r="I274" s="27"/>
    </row>
    <row r="275">
      <c r="A275" s="28"/>
      <c r="B275" s="27"/>
      <c r="I275" s="27"/>
    </row>
    <row r="276">
      <c r="A276" s="28"/>
      <c r="B276" s="27"/>
      <c r="I276" s="27"/>
    </row>
    <row r="277">
      <c r="A277" s="28"/>
      <c r="B277" s="27"/>
      <c r="I277" s="27"/>
    </row>
    <row r="278">
      <c r="A278" s="28"/>
      <c r="B278" s="27"/>
      <c r="I278" s="27"/>
    </row>
    <row r="279">
      <c r="A279" s="28"/>
      <c r="B279" s="27"/>
      <c r="I279" s="27"/>
    </row>
    <row r="280">
      <c r="A280" s="28"/>
      <c r="B280" s="27"/>
      <c r="I280" s="27"/>
    </row>
    <row r="281">
      <c r="A281" s="28"/>
      <c r="B281" s="27"/>
      <c r="I281" s="27"/>
    </row>
    <row r="282">
      <c r="A282" s="28"/>
      <c r="B282" s="27"/>
      <c r="I282" s="27"/>
    </row>
    <row r="283">
      <c r="A283" s="28"/>
      <c r="B283" s="27"/>
      <c r="I283" s="27"/>
    </row>
    <row r="284">
      <c r="A284" s="28"/>
      <c r="B284" s="27"/>
      <c r="I284" s="27"/>
    </row>
    <row r="285">
      <c r="A285" s="28"/>
      <c r="B285" s="27"/>
      <c r="I285" s="27"/>
    </row>
    <row r="286">
      <c r="A286" s="28"/>
      <c r="B286" s="27"/>
      <c r="I286" s="27"/>
    </row>
    <row r="287">
      <c r="A287" s="28"/>
      <c r="B287" s="27"/>
      <c r="I287" s="27"/>
    </row>
    <row r="288">
      <c r="A288" s="28"/>
      <c r="B288" s="27"/>
      <c r="I288" s="27"/>
    </row>
    <row r="289">
      <c r="A289" s="28"/>
      <c r="B289" s="27"/>
      <c r="I289" s="27"/>
    </row>
    <row r="290">
      <c r="A290" s="28"/>
      <c r="B290" s="27"/>
      <c r="I290" s="27"/>
    </row>
    <row r="291">
      <c r="A291" s="28"/>
      <c r="B291" s="27"/>
      <c r="I291" s="27"/>
    </row>
    <row r="292">
      <c r="A292" s="28"/>
      <c r="B292" s="27"/>
      <c r="I292" s="27"/>
    </row>
    <row r="293">
      <c r="A293" s="28"/>
      <c r="B293" s="27"/>
      <c r="I293" s="27"/>
    </row>
    <row r="294">
      <c r="A294" s="28"/>
      <c r="B294" s="27"/>
      <c r="I294" s="27"/>
    </row>
    <row r="295">
      <c r="A295" s="28"/>
      <c r="B295" s="27"/>
      <c r="I295" s="27"/>
    </row>
    <row r="296">
      <c r="A296" s="28"/>
      <c r="B296" s="27"/>
      <c r="I296" s="27"/>
    </row>
    <row r="297">
      <c r="A297" s="28"/>
      <c r="B297" s="27"/>
      <c r="I297" s="27"/>
    </row>
    <row r="298">
      <c r="A298" s="28"/>
      <c r="B298" s="27"/>
      <c r="I298" s="27"/>
    </row>
    <row r="299">
      <c r="A299" s="28"/>
      <c r="B299" s="27"/>
      <c r="I299" s="27"/>
    </row>
    <row r="300">
      <c r="A300" s="28"/>
      <c r="B300" s="27"/>
      <c r="I300" s="27"/>
    </row>
    <row r="301">
      <c r="A301" s="28"/>
      <c r="B301" s="27"/>
      <c r="I301" s="27"/>
    </row>
    <row r="302">
      <c r="A302" s="28"/>
      <c r="B302" s="27"/>
      <c r="I302" s="27"/>
    </row>
    <row r="303">
      <c r="A303" s="28"/>
      <c r="B303" s="27"/>
      <c r="I303" s="27"/>
    </row>
    <row r="304">
      <c r="A304" s="28"/>
      <c r="B304" s="27"/>
      <c r="I304" s="27"/>
    </row>
    <row r="305">
      <c r="A305" s="28"/>
      <c r="B305" s="27"/>
      <c r="I305" s="27"/>
    </row>
    <row r="306">
      <c r="A306" s="28"/>
      <c r="B306" s="27"/>
      <c r="I306" s="27"/>
    </row>
    <row r="307">
      <c r="A307" s="28"/>
      <c r="B307" s="27"/>
      <c r="I307" s="27"/>
    </row>
    <row r="308">
      <c r="A308" s="28"/>
      <c r="B308" s="27"/>
      <c r="I308" s="27"/>
    </row>
    <row r="309">
      <c r="A309" s="28"/>
      <c r="B309" s="27"/>
      <c r="I309" s="27"/>
    </row>
    <row r="310">
      <c r="A310" s="28"/>
      <c r="B310" s="27"/>
      <c r="I310" s="27"/>
    </row>
    <row r="311">
      <c r="A311" s="28"/>
      <c r="B311" s="27"/>
      <c r="I311" s="27"/>
    </row>
    <row r="312">
      <c r="A312" s="28"/>
      <c r="B312" s="27"/>
      <c r="I312" s="27"/>
    </row>
    <row r="313">
      <c r="A313" s="28"/>
      <c r="B313" s="27"/>
      <c r="I313" s="27"/>
    </row>
    <row r="314">
      <c r="A314" s="28"/>
      <c r="B314" s="27"/>
      <c r="I314" s="27"/>
    </row>
    <row r="315">
      <c r="A315" s="28"/>
      <c r="B315" s="27"/>
      <c r="I315" s="27"/>
    </row>
    <row r="316">
      <c r="A316" s="28"/>
      <c r="B316" s="27"/>
      <c r="I316" s="27"/>
    </row>
    <row r="317">
      <c r="A317" s="28"/>
      <c r="B317" s="27"/>
      <c r="I317" s="27"/>
    </row>
    <row r="318">
      <c r="A318" s="28"/>
      <c r="B318" s="27"/>
      <c r="I318" s="27"/>
    </row>
    <row r="319">
      <c r="A319" s="28"/>
      <c r="B319" s="27"/>
      <c r="I319" s="27"/>
    </row>
    <row r="320">
      <c r="A320" s="28"/>
      <c r="B320" s="27"/>
      <c r="I320" s="27"/>
    </row>
    <row r="321">
      <c r="A321" s="28"/>
      <c r="B321" s="27"/>
      <c r="I321" s="27"/>
    </row>
    <row r="322">
      <c r="A322" s="28"/>
      <c r="B322" s="27"/>
      <c r="I322" s="27"/>
    </row>
    <row r="323">
      <c r="A323" s="28"/>
      <c r="B323" s="27"/>
      <c r="I323" s="27"/>
    </row>
    <row r="324">
      <c r="A324" s="28"/>
      <c r="B324" s="27"/>
      <c r="I324" s="27"/>
    </row>
    <row r="325">
      <c r="A325" s="28"/>
      <c r="B325" s="27"/>
      <c r="I325" s="27"/>
    </row>
    <row r="326">
      <c r="A326" s="28"/>
      <c r="B326" s="27"/>
      <c r="I326" s="27"/>
    </row>
    <row r="327">
      <c r="A327" s="28"/>
      <c r="B327" s="27"/>
      <c r="I327" s="27"/>
    </row>
    <row r="328">
      <c r="A328" s="28"/>
      <c r="B328" s="27"/>
      <c r="I328" s="27"/>
    </row>
    <row r="329">
      <c r="A329" s="28"/>
      <c r="B329" s="27"/>
      <c r="I329" s="27"/>
    </row>
    <row r="330">
      <c r="A330" s="28"/>
      <c r="B330" s="27"/>
      <c r="I330" s="27"/>
    </row>
    <row r="331">
      <c r="A331" s="28"/>
      <c r="B331" s="27"/>
      <c r="I331" s="27"/>
    </row>
    <row r="332">
      <c r="A332" s="28"/>
      <c r="B332" s="27"/>
      <c r="I332" s="27"/>
    </row>
    <row r="333">
      <c r="A333" s="28"/>
      <c r="B333" s="27"/>
      <c r="I333" s="27"/>
    </row>
    <row r="334">
      <c r="A334" s="28"/>
      <c r="B334" s="27"/>
      <c r="I334" s="27"/>
    </row>
    <row r="335">
      <c r="A335" s="28"/>
      <c r="B335" s="27"/>
      <c r="I335" s="27"/>
    </row>
    <row r="336">
      <c r="A336" s="28"/>
      <c r="B336" s="27"/>
      <c r="I336" s="27"/>
    </row>
    <row r="337">
      <c r="A337" s="28"/>
      <c r="B337" s="27"/>
      <c r="I337" s="27"/>
    </row>
    <row r="338">
      <c r="A338" s="28"/>
      <c r="B338" s="27"/>
      <c r="I338" s="27"/>
    </row>
    <row r="339">
      <c r="A339" s="28"/>
      <c r="B339" s="27"/>
      <c r="I339" s="27"/>
    </row>
    <row r="340">
      <c r="A340" s="28"/>
      <c r="B340" s="27"/>
      <c r="I340" s="27"/>
    </row>
    <row r="341">
      <c r="A341" s="28"/>
      <c r="B341" s="27"/>
      <c r="I341" s="27"/>
    </row>
    <row r="342">
      <c r="A342" s="28"/>
      <c r="B342" s="27"/>
      <c r="I342" s="27"/>
    </row>
    <row r="343">
      <c r="A343" s="28"/>
      <c r="B343" s="27"/>
      <c r="I343" s="27"/>
    </row>
    <row r="344">
      <c r="A344" s="28"/>
      <c r="B344" s="27"/>
      <c r="I344" s="27"/>
    </row>
    <row r="345">
      <c r="A345" s="28"/>
      <c r="B345" s="27"/>
      <c r="I345" s="27"/>
    </row>
    <row r="346">
      <c r="A346" s="28"/>
      <c r="B346" s="27"/>
      <c r="I346" s="27"/>
    </row>
    <row r="347">
      <c r="A347" s="28"/>
      <c r="B347" s="27"/>
      <c r="I347" s="27"/>
    </row>
    <row r="348">
      <c r="A348" s="28"/>
      <c r="B348" s="27"/>
      <c r="I348" s="27"/>
    </row>
    <row r="349">
      <c r="A349" s="28"/>
      <c r="B349" s="27"/>
      <c r="I349" s="27"/>
    </row>
    <row r="350">
      <c r="A350" s="28"/>
      <c r="B350" s="27"/>
      <c r="I350" s="27"/>
    </row>
    <row r="351">
      <c r="A351" s="28"/>
      <c r="B351" s="27"/>
      <c r="I351" s="27"/>
    </row>
    <row r="352">
      <c r="A352" s="28"/>
      <c r="B352" s="27"/>
      <c r="I352" s="27"/>
    </row>
    <row r="353">
      <c r="A353" s="28"/>
      <c r="B353" s="27"/>
      <c r="I353" s="27"/>
    </row>
    <row r="354">
      <c r="A354" s="28"/>
      <c r="B354" s="27"/>
      <c r="I354" s="27"/>
    </row>
    <row r="355">
      <c r="A355" s="28"/>
      <c r="B355" s="27"/>
      <c r="I355" s="27"/>
    </row>
    <row r="356">
      <c r="A356" s="28"/>
      <c r="B356" s="27"/>
      <c r="I356" s="27"/>
    </row>
    <row r="357">
      <c r="A357" s="28"/>
      <c r="B357" s="27"/>
      <c r="I357" s="27"/>
    </row>
    <row r="358">
      <c r="A358" s="28"/>
      <c r="B358" s="27"/>
      <c r="I358" s="27"/>
    </row>
    <row r="359">
      <c r="A359" s="28"/>
      <c r="B359" s="27"/>
      <c r="I359" s="27"/>
    </row>
    <row r="360">
      <c r="A360" s="28"/>
      <c r="B360" s="27"/>
      <c r="I360" s="27"/>
    </row>
    <row r="361">
      <c r="A361" s="28"/>
      <c r="B361" s="27"/>
      <c r="I361" s="27"/>
    </row>
    <row r="362">
      <c r="A362" s="28"/>
      <c r="B362" s="27"/>
      <c r="I362" s="27"/>
    </row>
    <row r="363">
      <c r="A363" s="28"/>
      <c r="B363" s="27"/>
      <c r="I363" s="27"/>
    </row>
    <row r="364">
      <c r="A364" s="28"/>
      <c r="B364" s="27"/>
      <c r="I364" s="27"/>
    </row>
    <row r="365">
      <c r="A365" s="28"/>
      <c r="B365" s="27"/>
      <c r="I365" s="27"/>
    </row>
    <row r="366">
      <c r="A366" s="28"/>
      <c r="B366" s="27"/>
      <c r="I366" s="27"/>
    </row>
    <row r="367">
      <c r="A367" s="28"/>
      <c r="B367" s="27"/>
      <c r="I367" s="27"/>
    </row>
    <row r="368">
      <c r="A368" s="28"/>
      <c r="B368" s="27"/>
      <c r="I368" s="27"/>
    </row>
    <row r="369">
      <c r="A369" s="28"/>
      <c r="B369" s="27"/>
      <c r="I369" s="27"/>
    </row>
    <row r="370">
      <c r="A370" s="28"/>
      <c r="B370" s="27"/>
      <c r="I370" s="27"/>
    </row>
    <row r="371">
      <c r="A371" s="28"/>
      <c r="B371" s="27"/>
      <c r="I371" s="27"/>
    </row>
    <row r="372">
      <c r="A372" s="28"/>
      <c r="B372" s="27"/>
      <c r="I372" s="27"/>
    </row>
    <row r="373">
      <c r="A373" s="28"/>
      <c r="B373" s="27"/>
      <c r="I373" s="27"/>
    </row>
    <row r="374">
      <c r="A374" s="28"/>
      <c r="B374" s="27"/>
      <c r="I374" s="27"/>
    </row>
    <row r="375">
      <c r="A375" s="28"/>
      <c r="B375" s="27"/>
      <c r="I375" s="27"/>
    </row>
    <row r="376">
      <c r="A376" s="28"/>
      <c r="B376" s="27"/>
      <c r="I376" s="27"/>
    </row>
    <row r="377">
      <c r="A377" s="28"/>
      <c r="B377" s="27"/>
      <c r="I377" s="27"/>
    </row>
    <row r="378">
      <c r="A378" s="28"/>
      <c r="B378" s="27"/>
      <c r="I378" s="27"/>
    </row>
    <row r="379">
      <c r="A379" s="28"/>
      <c r="B379" s="27"/>
      <c r="I379" s="27"/>
    </row>
    <row r="380">
      <c r="A380" s="28"/>
      <c r="B380" s="27"/>
      <c r="I380" s="27"/>
    </row>
    <row r="381">
      <c r="A381" s="28"/>
      <c r="B381" s="27"/>
      <c r="I381" s="27"/>
    </row>
    <row r="382">
      <c r="A382" s="28"/>
      <c r="B382" s="27"/>
      <c r="I382" s="27"/>
    </row>
    <row r="383">
      <c r="A383" s="28"/>
      <c r="B383" s="27"/>
      <c r="I383" s="27"/>
    </row>
    <row r="384">
      <c r="A384" s="28"/>
      <c r="B384" s="27"/>
      <c r="I384" s="27"/>
    </row>
    <row r="385">
      <c r="A385" s="28"/>
      <c r="B385" s="27"/>
      <c r="I385" s="27"/>
    </row>
    <row r="386">
      <c r="A386" s="28"/>
      <c r="B386" s="27"/>
      <c r="I386" s="27"/>
    </row>
    <row r="387">
      <c r="A387" s="28"/>
      <c r="B387" s="27"/>
      <c r="I387" s="27"/>
    </row>
    <row r="388">
      <c r="A388" s="28"/>
      <c r="B388" s="27"/>
      <c r="I388" s="27"/>
    </row>
    <row r="389">
      <c r="A389" s="28"/>
      <c r="B389" s="27"/>
      <c r="I389" s="27"/>
    </row>
    <row r="390">
      <c r="A390" s="28"/>
      <c r="B390" s="27"/>
      <c r="I390" s="27"/>
    </row>
    <row r="391">
      <c r="A391" s="28"/>
      <c r="B391" s="27"/>
      <c r="I391" s="27"/>
    </row>
    <row r="392">
      <c r="A392" s="28"/>
      <c r="B392" s="27"/>
      <c r="I392" s="27"/>
    </row>
    <row r="393">
      <c r="A393" s="28"/>
      <c r="B393" s="27"/>
      <c r="I393" s="27"/>
    </row>
    <row r="394">
      <c r="A394" s="28"/>
      <c r="B394" s="27"/>
      <c r="I394" s="27"/>
    </row>
    <row r="395">
      <c r="A395" s="28"/>
      <c r="B395" s="27"/>
      <c r="I395" s="27"/>
    </row>
    <row r="396">
      <c r="A396" s="28"/>
      <c r="B396" s="27"/>
      <c r="I396" s="27"/>
    </row>
    <row r="397">
      <c r="A397" s="28"/>
      <c r="B397" s="27"/>
      <c r="I397" s="27"/>
    </row>
    <row r="398">
      <c r="A398" s="28"/>
      <c r="B398" s="27"/>
      <c r="I398" s="27"/>
    </row>
    <row r="399">
      <c r="A399" s="28"/>
      <c r="B399" s="27"/>
      <c r="I399" s="27"/>
    </row>
    <row r="400">
      <c r="A400" s="28"/>
      <c r="B400" s="27"/>
      <c r="I400" s="27"/>
    </row>
    <row r="401">
      <c r="A401" s="28"/>
      <c r="B401" s="27"/>
      <c r="I401" s="27"/>
    </row>
    <row r="402">
      <c r="A402" s="28"/>
      <c r="B402" s="27"/>
      <c r="I402" s="27"/>
    </row>
    <row r="403">
      <c r="A403" s="28"/>
      <c r="B403" s="27"/>
      <c r="I403" s="27"/>
    </row>
    <row r="404">
      <c r="A404" s="28"/>
      <c r="B404" s="27"/>
      <c r="I404" s="27"/>
    </row>
    <row r="405">
      <c r="A405" s="28"/>
      <c r="B405" s="27"/>
      <c r="I405" s="27"/>
    </row>
    <row r="406">
      <c r="A406" s="28"/>
      <c r="B406" s="27"/>
      <c r="I406" s="27"/>
    </row>
    <row r="407">
      <c r="A407" s="28"/>
      <c r="B407" s="27"/>
      <c r="I407" s="27"/>
    </row>
    <row r="408">
      <c r="A408" s="28"/>
      <c r="B408" s="27"/>
      <c r="I408" s="27"/>
    </row>
    <row r="409">
      <c r="A409" s="28"/>
      <c r="B409" s="27"/>
      <c r="I409" s="27"/>
    </row>
    <row r="410">
      <c r="A410" s="28"/>
      <c r="B410" s="27"/>
      <c r="I410" s="27"/>
    </row>
    <row r="411">
      <c r="A411" s="28"/>
      <c r="B411" s="27"/>
      <c r="I411" s="27"/>
    </row>
    <row r="412">
      <c r="A412" s="28"/>
      <c r="B412" s="27"/>
      <c r="I412" s="27"/>
    </row>
    <row r="413">
      <c r="A413" s="28"/>
      <c r="B413" s="27"/>
      <c r="I413" s="27"/>
    </row>
    <row r="414">
      <c r="A414" s="28"/>
      <c r="B414" s="27"/>
      <c r="I414" s="27"/>
    </row>
    <row r="415">
      <c r="A415" s="28"/>
      <c r="B415" s="27"/>
      <c r="I415" s="27"/>
    </row>
    <row r="416">
      <c r="A416" s="28"/>
      <c r="B416" s="27"/>
      <c r="I416" s="27"/>
    </row>
    <row r="417">
      <c r="A417" s="28"/>
      <c r="B417" s="27"/>
      <c r="I417" s="27"/>
    </row>
    <row r="418">
      <c r="A418" s="28"/>
      <c r="B418" s="27"/>
      <c r="I418" s="27"/>
    </row>
    <row r="419">
      <c r="A419" s="28"/>
      <c r="B419" s="27"/>
      <c r="I419" s="27"/>
    </row>
    <row r="420">
      <c r="A420" s="28"/>
      <c r="B420" s="27"/>
      <c r="I420" s="27"/>
    </row>
    <row r="421">
      <c r="A421" s="28"/>
      <c r="B421" s="27"/>
      <c r="I421" s="27"/>
    </row>
    <row r="422">
      <c r="A422" s="28"/>
      <c r="B422" s="27"/>
      <c r="I422" s="27"/>
    </row>
    <row r="423">
      <c r="A423" s="28"/>
      <c r="B423" s="27"/>
      <c r="I423" s="27"/>
    </row>
    <row r="424">
      <c r="A424" s="28"/>
      <c r="B424" s="27"/>
      <c r="I424" s="27"/>
    </row>
    <row r="425">
      <c r="A425" s="28"/>
      <c r="B425" s="27"/>
      <c r="I425" s="27"/>
    </row>
    <row r="426">
      <c r="A426" s="28"/>
      <c r="B426" s="27"/>
      <c r="I426" s="27"/>
    </row>
    <row r="427">
      <c r="A427" s="28"/>
      <c r="B427" s="27"/>
      <c r="I427" s="27"/>
    </row>
    <row r="428">
      <c r="A428" s="28"/>
      <c r="B428" s="27"/>
      <c r="I428" s="27"/>
    </row>
    <row r="429">
      <c r="A429" s="28"/>
      <c r="B429" s="27"/>
      <c r="I429" s="27"/>
    </row>
    <row r="430">
      <c r="A430" s="28"/>
      <c r="B430" s="27"/>
      <c r="I430" s="27"/>
    </row>
    <row r="431">
      <c r="A431" s="28"/>
      <c r="B431" s="27"/>
      <c r="I431" s="27"/>
    </row>
    <row r="432">
      <c r="A432" s="28"/>
      <c r="B432" s="27"/>
      <c r="I432" s="27"/>
    </row>
    <row r="433">
      <c r="A433" s="28"/>
      <c r="B433" s="27"/>
      <c r="I433" s="27"/>
    </row>
    <row r="434">
      <c r="A434" s="28"/>
      <c r="B434" s="27"/>
      <c r="I434" s="27"/>
    </row>
    <row r="435">
      <c r="A435" s="28"/>
      <c r="B435" s="27"/>
      <c r="I435" s="27"/>
    </row>
    <row r="436">
      <c r="A436" s="28"/>
      <c r="B436" s="27"/>
      <c r="I436" s="27"/>
    </row>
    <row r="437">
      <c r="A437" s="28"/>
      <c r="B437" s="27"/>
      <c r="I437" s="27"/>
    </row>
    <row r="438">
      <c r="A438" s="28"/>
      <c r="B438" s="27"/>
      <c r="I438" s="27"/>
    </row>
    <row r="439">
      <c r="A439" s="28"/>
      <c r="B439" s="27"/>
      <c r="I439" s="27"/>
    </row>
    <row r="440">
      <c r="A440" s="28"/>
      <c r="B440" s="27"/>
      <c r="I440" s="27"/>
    </row>
    <row r="441">
      <c r="A441" s="28"/>
      <c r="B441" s="27"/>
      <c r="I441" s="27"/>
    </row>
    <row r="442">
      <c r="A442" s="28"/>
      <c r="B442" s="27"/>
      <c r="I442" s="27"/>
    </row>
    <row r="443">
      <c r="A443" s="28"/>
      <c r="B443" s="27"/>
      <c r="I443" s="27"/>
    </row>
    <row r="444">
      <c r="A444" s="28"/>
      <c r="B444" s="27"/>
      <c r="I444" s="27"/>
    </row>
    <row r="445">
      <c r="A445" s="28"/>
      <c r="B445" s="27"/>
      <c r="I445" s="27"/>
    </row>
    <row r="446">
      <c r="A446" s="28"/>
      <c r="B446" s="27"/>
      <c r="I446" s="27"/>
    </row>
    <row r="447">
      <c r="A447" s="28"/>
      <c r="B447" s="27"/>
      <c r="I447" s="27"/>
    </row>
    <row r="448">
      <c r="A448" s="28"/>
      <c r="B448" s="27"/>
      <c r="I448" s="27"/>
    </row>
    <row r="449">
      <c r="A449" s="28"/>
      <c r="B449" s="27"/>
      <c r="I449" s="27"/>
    </row>
    <row r="450">
      <c r="A450" s="28"/>
      <c r="B450" s="27"/>
      <c r="I450" s="27"/>
    </row>
    <row r="451">
      <c r="A451" s="28"/>
      <c r="B451" s="27"/>
      <c r="I451" s="27"/>
    </row>
    <row r="452">
      <c r="A452" s="28"/>
      <c r="B452" s="27"/>
      <c r="I452" s="27"/>
    </row>
    <row r="453">
      <c r="A453" s="28"/>
      <c r="B453" s="27"/>
      <c r="I453" s="27"/>
    </row>
    <row r="454">
      <c r="A454" s="28"/>
      <c r="B454" s="27"/>
      <c r="I454" s="27"/>
    </row>
    <row r="455">
      <c r="A455" s="28"/>
      <c r="B455" s="27"/>
      <c r="I455" s="27"/>
    </row>
    <row r="456">
      <c r="A456" s="28"/>
      <c r="B456" s="27"/>
      <c r="I456" s="27"/>
    </row>
    <row r="457">
      <c r="A457" s="28"/>
      <c r="B457" s="27"/>
      <c r="I457" s="27"/>
    </row>
    <row r="458">
      <c r="A458" s="28"/>
      <c r="B458" s="27"/>
      <c r="I458" s="27"/>
    </row>
    <row r="459">
      <c r="A459" s="28"/>
      <c r="B459" s="27"/>
      <c r="I459" s="27"/>
    </row>
    <row r="460">
      <c r="A460" s="28"/>
      <c r="B460" s="27"/>
      <c r="I460" s="27"/>
    </row>
    <row r="461">
      <c r="A461" s="28"/>
      <c r="B461" s="27"/>
      <c r="I461" s="27"/>
    </row>
    <row r="462">
      <c r="A462" s="28"/>
      <c r="B462" s="27"/>
      <c r="I462" s="27"/>
    </row>
    <row r="463">
      <c r="A463" s="28"/>
      <c r="B463" s="27"/>
      <c r="I463" s="27"/>
    </row>
    <row r="464">
      <c r="A464" s="28"/>
      <c r="B464" s="27"/>
      <c r="I464" s="27"/>
    </row>
    <row r="465">
      <c r="A465" s="28"/>
      <c r="B465" s="27"/>
      <c r="I465" s="27"/>
    </row>
    <row r="466">
      <c r="A466" s="28"/>
      <c r="B466" s="27"/>
      <c r="I466" s="27"/>
    </row>
    <row r="467">
      <c r="A467" s="28"/>
      <c r="B467" s="27"/>
      <c r="I467" s="27"/>
    </row>
    <row r="468">
      <c r="A468" s="28"/>
      <c r="B468" s="27"/>
      <c r="I468" s="27"/>
    </row>
    <row r="469">
      <c r="A469" s="28"/>
      <c r="B469" s="27"/>
      <c r="I469" s="27"/>
    </row>
    <row r="470">
      <c r="A470" s="28"/>
      <c r="B470" s="27"/>
      <c r="I470" s="27"/>
    </row>
    <row r="471">
      <c r="A471" s="28"/>
      <c r="B471" s="27"/>
      <c r="I471" s="27"/>
    </row>
    <row r="472">
      <c r="A472" s="28"/>
      <c r="B472" s="27"/>
      <c r="I472" s="27"/>
    </row>
    <row r="473">
      <c r="A473" s="28"/>
      <c r="B473" s="27"/>
      <c r="I473" s="27"/>
    </row>
    <row r="474">
      <c r="A474" s="28"/>
      <c r="B474" s="27"/>
      <c r="I474" s="27"/>
    </row>
    <row r="475">
      <c r="A475" s="28"/>
      <c r="B475" s="27"/>
      <c r="I475" s="27"/>
    </row>
    <row r="476">
      <c r="A476" s="28"/>
      <c r="B476" s="27"/>
      <c r="I476" s="27"/>
    </row>
    <row r="477">
      <c r="A477" s="28"/>
      <c r="B477" s="27"/>
      <c r="I477" s="27"/>
    </row>
    <row r="478">
      <c r="A478" s="28"/>
      <c r="B478" s="27"/>
      <c r="I478" s="27"/>
    </row>
    <row r="479">
      <c r="A479" s="28"/>
      <c r="B479" s="27"/>
      <c r="I479" s="27"/>
    </row>
    <row r="480">
      <c r="A480" s="28"/>
      <c r="B480" s="27"/>
      <c r="I480" s="27"/>
    </row>
    <row r="481">
      <c r="A481" s="28"/>
      <c r="B481" s="27"/>
      <c r="I481" s="27"/>
    </row>
    <row r="482">
      <c r="A482" s="28"/>
      <c r="B482" s="27"/>
      <c r="I482" s="27"/>
    </row>
    <row r="483">
      <c r="A483" s="28"/>
      <c r="B483" s="27"/>
      <c r="I483" s="27"/>
    </row>
    <row r="484">
      <c r="A484" s="28"/>
      <c r="B484" s="27"/>
      <c r="I484" s="27"/>
    </row>
    <row r="485">
      <c r="A485" s="28"/>
      <c r="B485" s="27"/>
      <c r="I485" s="27"/>
    </row>
    <row r="486">
      <c r="A486" s="28"/>
      <c r="B486" s="27"/>
      <c r="I486" s="27"/>
    </row>
    <row r="487">
      <c r="A487" s="28"/>
      <c r="B487" s="27"/>
      <c r="I487" s="27"/>
    </row>
    <row r="488">
      <c r="A488" s="28"/>
      <c r="B488" s="27"/>
      <c r="I488" s="27"/>
    </row>
    <row r="489">
      <c r="A489" s="28"/>
      <c r="B489" s="27"/>
      <c r="I489" s="27"/>
    </row>
    <row r="490">
      <c r="A490" s="28"/>
      <c r="B490" s="27"/>
      <c r="I490" s="27"/>
    </row>
    <row r="491">
      <c r="A491" s="28"/>
      <c r="B491" s="27"/>
      <c r="I491" s="27"/>
    </row>
    <row r="492">
      <c r="A492" s="28"/>
      <c r="B492" s="27"/>
      <c r="I492" s="27"/>
    </row>
    <row r="493">
      <c r="A493" s="28"/>
      <c r="B493" s="27"/>
      <c r="I493" s="27"/>
    </row>
    <row r="494">
      <c r="A494" s="28"/>
      <c r="B494" s="27"/>
      <c r="I494" s="27"/>
    </row>
    <row r="495">
      <c r="A495" s="28"/>
      <c r="B495" s="27"/>
      <c r="I495" s="27"/>
    </row>
    <row r="496">
      <c r="A496" s="28"/>
      <c r="B496" s="27"/>
      <c r="I496" s="27"/>
    </row>
    <row r="497">
      <c r="A497" s="28"/>
      <c r="B497" s="27"/>
      <c r="I497" s="27"/>
    </row>
    <row r="498">
      <c r="A498" s="28"/>
      <c r="B498" s="27"/>
      <c r="I498" s="27"/>
    </row>
    <row r="499">
      <c r="A499" s="28"/>
      <c r="B499" s="27"/>
      <c r="I499" s="27"/>
    </row>
    <row r="500">
      <c r="A500" s="28"/>
      <c r="B500" s="27"/>
      <c r="I500" s="27"/>
    </row>
    <row r="501">
      <c r="A501" s="28"/>
      <c r="B501" s="27"/>
      <c r="I501" s="27"/>
    </row>
    <row r="502">
      <c r="A502" s="28"/>
      <c r="B502" s="27"/>
      <c r="I502" s="27"/>
    </row>
    <row r="503">
      <c r="A503" s="28"/>
      <c r="B503" s="27"/>
      <c r="I503" s="27"/>
    </row>
    <row r="504">
      <c r="A504" s="28"/>
      <c r="B504" s="27"/>
      <c r="I504" s="27"/>
    </row>
    <row r="505">
      <c r="A505" s="28"/>
      <c r="B505" s="27"/>
      <c r="I505" s="27"/>
    </row>
    <row r="506">
      <c r="A506" s="28"/>
      <c r="B506" s="27"/>
      <c r="I506" s="27"/>
    </row>
    <row r="507">
      <c r="A507" s="28"/>
      <c r="B507" s="27"/>
      <c r="I507" s="27"/>
    </row>
    <row r="508">
      <c r="A508" s="28"/>
      <c r="B508" s="27"/>
      <c r="I508" s="27"/>
    </row>
    <row r="509">
      <c r="A509" s="28"/>
      <c r="B509" s="27"/>
      <c r="I509" s="27"/>
    </row>
    <row r="510">
      <c r="A510" s="28"/>
      <c r="B510" s="27"/>
      <c r="I510" s="27"/>
    </row>
    <row r="511">
      <c r="A511" s="28"/>
      <c r="B511" s="27"/>
      <c r="I511" s="27"/>
    </row>
    <row r="512">
      <c r="A512" s="28"/>
      <c r="B512" s="27"/>
      <c r="I512" s="27"/>
    </row>
    <row r="513">
      <c r="A513" s="28"/>
      <c r="B513" s="27"/>
      <c r="I513" s="27"/>
    </row>
    <row r="514">
      <c r="A514" s="28"/>
      <c r="B514" s="27"/>
      <c r="I514" s="27"/>
    </row>
    <row r="515">
      <c r="A515" s="28"/>
      <c r="B515" s="27"/>
      <c r="I515" s="27"/>
    </row>
    <row r="516">
      <c r="A516" s="28"/>
      <c r="B516" s="27"/>
      <c r="I516" s="27"/>
    </row>
    <row r="517">
      <c r="A517" s="28"/>
      <c r="B517" s="27"/>
      <c r="I517" s="27"/>
    </row>
    <row r="518">
      <c r="A518" s="28"/>
      <c r="B518" s="27"/>
      <c r="I518" s="27"/>
    </row>
    <row r="519">
      <c r="A519" s="28"/>
      <c r="B519" s="27"/>
      <c r="I519" s="27"/>
    </row>
    <row r="520">
      <c r="A520" s="28"/>
      <c r="B520" s="27"/>
      <c r="I520" s="27"/>
    </row>
    <row r="521">
      <c r="A521" s="28"/>
      <c r="B521" s="27"/>
      <c r="I521" s="27"/>
    </row>
    <row r="522">
      <c r="A522" s="28"/>
      <c r="B522" s="27"/>
      <c r="I522" s="27"/>
    </row>
    <row r="523">
      <c r="A523" s="28"/>
      <c r="B523" s="27"/>
      <c r="I523" s="27"/>
    </row>
    <row r="524">
      <c r="A524" s="28"/>
      <c r="B524" s="27"/>
      <c r="I524" s="27"/>
    </row>
    <row r="525">
      <c r="A525" s="28"/>
      <c r="B525" s="27"/>
      <c r="I525" s="27"/>
    </row>
    <row r="526">
      <c r="A526" s="28"/>
      <c r="B526" s="27"/>
      <c r="I526" s="27"/>
    </row>
    <row r="527">
      <c r="A527" s="28"/>
      <c r="B527" s="27"/>
      <c r="I527" s="27"/>
    </row>
    <row r="528">
      <c r="A528" s="28"/>
      <c r="B528" s="27"/>
      <c r="I528" s="27"/>
    </row>
    <row r="529">
      <c r="A529" s="28"/>
      <c r="B529" s="27"/>
      <c r="I529" s="27"/>
    </row>
    <row r="530">
      <c r="A530" s="28"/>
      <c r="B530" s="27"/>
      <c r="I530" s="27"/>
    </row>
    <row r="531">
      <c r="A531" s="28"/>
      <c r="B531" s="27"/>
      <c r="I531" s="27"/>
    </row>
    <row r="532">
      <c r="A532" s="28"/>
      <c r="B532" s="27"/>
      <c r="I532" s="27"/>
    </row>
    <row r="533">
      <c r="A533" s="28"/>
      <c r="B533" s="27"/>
      <c r="I533" s="27"/>
    </row>
    <row r="534">
      <c r="A534" s="28"/>
      <c r="B534" s="27"/>
      <c r="I534" s="27"/>
    </row>
    <row r="535">
      <c r="A535" s="28"/>
      <c r="B535" s="27"/>
      <c r="I535" s="27"/>
    </row>
    <row r="536">
      <c r="A536" s="28"/>
      <c r="B536" s="27"/>
      <c r="I536" s="27"/>
    </row>
    <row r="537">
      <c r="A537" s="28"/>
      <c r="B537" s="27"/>
      <c r="I537" s="27"/>
    </row>
    <row r="538">
      <c r="A538" s="28"/>
      <c r="B538" s="27"/>
      <c r="I538" s="27"/>
    </row>
    <row r="539">
      <c r="A539" s="28"/>
      <c r="B539" s="27"/>
      <c r="I539" s="27"/>
    </row>
    <row r="540">
      <c r="A540" s="28"/>
      <c r="B540" s="27"/>
      <c r="I540" s="27"/>
    </row>
    <row r="541">
      <c r="A541" s="28"/>
      <c r="B541" s="27"/>
      <c r="I541" s="27"/>
    </row>
    <row r="542">
      <c r="A542" s="28"/>
      <c r="B542" s="27"/>
      <c r="I542" s="27"/>
    </row>
    <row r="543">
      <c r="A543" s="28"/>
      <c r="B543" s="27"/>
      <c r="I543" s="27"/>
    </row>
    <row r="544">
      <c r="A544" s="28"/>
      <c r="B544" s="27"/>
      <c r="I544" s="27"/>
    </row>
    <row r="545">
      <c r="A545" s="28"/>
      <c r="B545" s="27"/>
      <c r="I545" s="27"/>
    </row>
    <row r="546">
      <c r="A546" s="28"/>
      <c r="B546" s="27"/>
      <c r="I546" s="27"/>
    </row>
    <row r="547">
      <c r="A547" s="28"/>
      <c r="B547" s="27"/>
      <c r="I547" s="27"/>
    </row>
    <row r="548">
      <c r="A548" s="28"/>
      <c r="B548" s="27"/>
      <c r="I548" s="27"/>
    </row>
    <row r="549">
      <c r="A549" s="28"/>
      <c r="B549" s="27"/>
      <c r="I549" s="27"/>
    </row>
    <row r="550">
      <c r="A550" s="28"/>
      <c r="B550" s="27"/>
      <c r="I550" s="27"/>
    </row>
    <row r="551">
      <c r="A551" s="28"/>
      <c r="B551" s="27"/>
      <c r="I551" s="27"/>
    </row>
    <row r="552">
      <c r="A552" s="28"/>
      <c r="B552" s="27"/>
      <c r="I552" s="27"/>
    </row>
    <row r="553">
      <c r="A553" s="28"/>
      <c r="B553" s="27"/>
      <c r="I553" s="27"/>
    </row>
    <row r="554">
      <c r="A554" s="28"/>
      <c r="B554" s="27"/>
      <c r="I554" s="27"/>
    </row>
    <row r="555">
      <c r="A555" s="28"/>
      <c r="B555" s="27"/>
      <c r="I555" s="27"/>
    </row>
    <row r="556">
      <c r="A556" s="28"/>
      <c r="B556" s="27"/>
      <c r="I556" s="27"/>
    </row>
    <row r="557">
      <c r="A557" s="28"/>
      <c r="B557" s="27"/>
      <c r="I557" s="27"/>
    </row>
    <row r="558">
      <c r="A558" s="28"/>
      <c r="B558" s="27"/>
      <c r="I558" s="27"/>
    </row>
    <row r="559">
      <c r="A559" s="28"/>
      <c r="B559" s="27"/>
      <c r="I559" s="27"/>
    </row>
    <row r="560">
      <c r="A560" s="28"/>
      <c r="B560" s="27"/>
      <c r="I560" s="27"/>
    </row>
    <row r="561">
      <c r="A561" s="28"/>
      <c r="B561" s="27"/>
      <c r="I561" s="27"/>
    </row>
    <row r="562">
      <c r="A562" s="28"/>
      <c r="B562" s="27"/>
      <c r="I562" s="27"/>
    </row>
    <row r="563">
      <c r="A563" s="28"/>
      <c r="B563" s="27"/>
      <c r="I563" s="27"/>
    </row>
    <row r="564">
      <c r="A564" s="28"/>
      <c r="B564" s="27"/>
      <c r="I564" s="27"/>
    </row>
    <row r="565">
      <c r="A565" s="28"/>
      <c r="B565" s="27"/>
      <c r="I565" s="27"/>
    </row>
    <row r="566">
      <c r="A566" s="28"/>
      <c r="B566" s="27"/>
      <c r="I566" s="27"/>
    </row>
    <row r="567">
      <c r="A567" s="28"/>
      <c r="B567" s="27"/>
      <c r="I567" s="27"/>
    </row>
    <row r="568">
      <c r="A568" s="28"/>
      <c r="B568" s="27"/>
      <c r="I568" s="27"/>
    </row>
    <row r="569">
      <c r="A569" s="28"/>
      <c r="B569" s="27"/>
      <c r="I569" s="27"/>
    </row>
    <row r="570">
      <c r="A570" s="28"/>
      <c r="B570" s="27"/>
      <c r="I570" s="27"/>
    </row>
    <row r="571">
      <c r="A571" s="28"/>
      <c r="B571" s="27"/>
      <c r="I571" s="27"/>
    </row>
    <row r="572">
      <c r="A572" s="28"/>
      <c r="B572" s="27"/>
      <c r="I572" s="27"/>
    </row>
    <row r="573">
      <c r="A573" s="28"/>
      <c r="B573" s="27"/>
      <c r="I573" s="27"/>
    </row>
    <row r="574">
      <c r="A574" s="28"/>
      <c r="B574" s="27"/>
      <c r="I574" s="27"/>
    </row>
    <row r="575">
      <c r="A575" s="28"/>
      <c r="B575" s="27"/>
      <c r="I575" s="27"/>
    </row>
    <row r="576">
      <c r="A576" s="28"/>
      <c r="B576" s="27"/>
      <c r="I576" s="27"/>
    </row>
    <row r="577">
      <c r="A577" s="28"/>
      <c r="B577" s="27"/>
      <c r="I577" s="27"/>
    </row>
    <row r="578">
      <c r="A578" s="28"/>
      <c r="B578" s="27"/>
      <c r="I578" s="27"/>
    </row>
    <row r="579">
      <c r="A579" s="28"/>
      <c r="B579" s="27"/>
      <c r="I579" s="27"/>
    </row>
    <row r="580">
      <c r="A580" s="28"/>
      <c r="B580" s="27"/>
      <c r="I580" s="27"/>
    </row>
    <row r="581">
      <c r="A581" s="28"/>
      <c r="B581" s="27"/>
      <c r="I581" s="27"/>
    </row>
    <row r="582">
      <c r="A582" s="28"/>
      <c r="B582" s="27"/>
      <c r="I582" s="27"/>
    </row>
    <row r="583">
      <c r="A583" s="28"/>
      <c r="B583" s="27"/>
      <c r="I583" s="27"/>
    </row>
    <row r="584">
      <c r="A584" s="28"/>
      <c r="B584" s="27"/>
      <c r="I584" s="27"/>
    </row>
    <row r="585">
      <c r="A585" s="28"/>
      <c r="B585" s="27"/>
      <c r="I585" s="27"/>
    </row>
    <row r="586">
      <c r="A586" s="28"/>
      <c r="B586" s="27"/>
      <c r="I586" s="27"/>
    </row>
    <row r="587">
      <c r="A587" s="28"/>
      <c r="B587" s="27"/>
      <c r="I587" s="27"/>
    </row>
    <row r="588">
      <c r="A588" s="28"/>
      <c r="B588" s="27"/>
      <c r="I588" s="27"/>
    </row>
    <row r="589">
      <c r="A589" s="28"/>
      <c r="B589" s="27"/>
      <c r="I589" s="27"/>
    </row>
    <row r="590">
      <c r="A590" s="28"/>
      <c r="B590" s="27"/>
      <c r="I590" s="27"/>
    </row>
    <row r="591">
      <c r="A591" s="28"/>
      <c r="B591" s="27"/>
      <c r="I591" s="27"/>
    </row>
    <row r="592">
      <c r="A592" s="28"/>
      <c r="B592" s="27"/>
      <c r="I592" s="27"/>
    </row>
    <row r="593">
      <c r="A593" s="28"/>
      <c r="B593" s="27"/>
      <c r="I593" s="27"/>
    </row>
    <row r="594">
      <c r="A594" s="28"/>
      <c r="B594" s="27"/>
      <c r="I594" s="27"/>
    </row>
    <row r="595">
      <c r="A595" s="28"/>
      <c r="B595" s="27"/>
      <c r="I595" s="27"/>
    </row>
    <row r="596">
      <c r="A596" s="28"/>
      <c r="B596" s="27"/>
      <c r="I596" s="27"/>
    </row>
    <row r="597">
      <c r="A597" s="28"/>
      <c r="B597" s="27"/>
      <c r="I597" s="27"/>
    </row>
    <row r="598">
      <c r="A598" s="28"/>
      <c r="B598" s="27"/>
      <c r="I598" s="27"/>
    </row>
    <row r="599">
      <c r="A599" s="28"/>
      <c r="B599" s="27"/>
      <c r="I599" s="27"/>
    </row>
    <row r="600">
      <c r="A600" s="28"/>
      <c r="B600" s="27"/>
      <c r="I600" s="27"/>
    </row>
    <row r="601">
      <c r="A601" s="28"/>
      <c r="B601" s="27"/>
      <c r="I601" s="27"/>
    </row>
    <row r="602">
      <c r="A602" s="28"/>
      <c r="B602" s="27"/>
      <c r="I602" s="27"/>
    </row>
    <row r="603">
      <c r="A603" s="28"/>
      <c r="B603" s="27"/>
      <c r="I603" s="27"/>
    </row>
    <row r="604">
      <c r="A604" s="28"/>
      <c r="B604" s="27"/>
      <c r="I604" s="27"/>
    </row>
    <row r="605">
      <c r="A605" s="28"/>
      <c r="B605" s="27"/>
      <c r="I605" s="27"/>
    </row>
    <row r="606">
      <c r="A606" s="28"/>
      <c r="B606" s="27"/>
      <c r="I606" s="27"/>
    </row>
    <row r="607">
      <c r="A607" s="28"/>
      <c r="B607" s="27"/>
      <c r="I607" s="27"/>
    </row>
    <row r="608">
      <c r="A608" s="28"/>
      <c r="B608" s="27"/>
      <c r="I608" s="27"/>
    </row>
    <row r="609">
      <c r="A609" s="28"/>
      <c r="B609" s="27"/>
      <c r="I609" s="27"/>
    </row>
    <row r="610">
      <c r="A610" s="28"/>
      <c r="B610" s="27"/>
      <c r="I610" s="27"/>
    </row>
    <row r="611">
      <c r="A611" s="28"/>
      <c r="B611" s="27"/>
      <c r="I611" s="27"/>
    </row>
    <row r="612">
      <c r="A612" s="28"/>
      <c r="B612" s="27"/>
      <c r="I612" s="27"/>
    </row>
    <row r="613">
      <c r="A613" s="28"/>
      <c r="B613" s="27"/>
      <c r="I613" s="27"/>
    </row>
    <row r="614">
      <c r="A614" s="28"/>
      <c r="B614" s="27"/>
      <c r="I614" s="27"/>
    </row>
    <row r="615">
      <c r="A615" s="28"/>
      <c r="B615" s="27"/>
      <c r="I615" s="27"/>
    </row>
    <row r="616">
      <c r="A616" s="28"/>
      <c r="B616" s="27"/>
      <c r="I616" s="27"/>
    </row>
    <row r="617">
      <c r="A617" s="28"/>
      <c r="B617" s="27"/>
      <c r="I617" s="27"/>
    </row>
    <row r="618">
      <c r="A618" s="28"/>
      <c r="B618" s="27"/>
      <c r="I618" s="27"/>
    </row>
    <row r="619">
      <c r="A619" s="28"/>
      <c r="B619" s="27"/>
      <c r="I619" s="27"/>
    </row>
    <row r="620">
      <c r="A620" s="28"/>
      <c r="B620" s="27"/>
      <c r="I620" s="27"/>
    </row>
    <row r="621">
      <c r="A621" s="28"/>
      <c r="B621" s="27"/>
      <c r="I621" s="27"/>
    </row>
    <row r="622">
      <c r="A622" s="28"/>
      <c r="B622" s="27"/>
      <c r="I622" s="27"/>
    </row>
    <row r="623">
      <c r="A623" s="28"/>
      <c r="B623" s="27"/>
      <c r="I623" s="27"/>
    </row>
    <row r="624">
      <c r="A624" s="28"/>
      <c r="B624" s="27"/>
      <c r="I624" s="27"/>
    </row>
    <row r="625">
      <c r="A625" s="28"/>
      <c r="B625" s="27"/>
      <c r="I625" s="27"/>
    </row>
    <row r="626">
      <c r="A626" s="28"/>
      <c r="B626" s="27"/>
      <c r="I626" s="27"/>
    </row>
    <row r="627">
      <c r="A627" s="28"/>
      <c r="B627" s="27"/>
      <c r="I627" s="27"/>
    </row>
    <row r="628">
      <c r="A628" s="28"/>
      <c r="B628" s="27"/>
      <c r="I628" s="27"/>
    </row>
    <row r="629">
      <c r="A629" s="28"/>
      <c r="B629" s="27"/>
      <c r="I629" s="27"/>
    </row>
    <row r="630">
      <c r="A630" s="28"/>
      <c r="B630" s="27"/>
      <c r="I630" s="27"/>
    </row>
    <row r="631">
      <c r="A631" s="28"/>
      <c r="B631" s="27"/>
      <c r="I631" s="27"/>
    </row>
    <row r="632">
      <c r="A632" s="28"/>
      <c r="B632" s="27"/>
      <c r="I632" s="27"/>
    </row>
    <row r="633">
      <c r="A633" s="28"/>
      <c r="B633" s="27"/>
      <c r="I633" s="27"/>
    </row>
    <row r="634">
      <c r="A634" s="28"/>
      <c r="B634" s="27"/>
      <c r="I634" s="27"/>
    </row>
    <row r="635">
      <c r="A635" s="28"/>
      <c r="B635" s="27"/>
      <c r="I635" s="27"/>
    </row>
    <row r="636">
      <c r="A636" s="28"/>
      <c r="B636" s="27"/>
      <c r="I636" s="27"/>
    </row>
    <row r="637">
      <c r="A637" s="28"/>
      <c r="B637" s="27"/>
      <c r="I637" s="27"/>
    </row>
    <row r="638">
      <c r="A638" s="28"/>
      <c r="B638" s="27"/>
      <c r="I638" s="27"/>
    </row>
    <row r="639">
      <c r="A639" s="28"/>
      <c r="B639" s="27"/>
      <c r="I639" s="27"/>
    </row>
    <row r="640">
      <c r="A640" s="28"/>
      <c r="B640" s="27"/>
      <c r="I640" s="27"/>
    </row>
    <row r="641">
      <c r="A641" s="28"/>
      <c r="B641" s="27"/>
      <c r="I641" s="27"/>
    </row>
    <row r="642">
      <c r="A642" s="28"/>
      <c r="B642" s="27"/>
      <c r="I642" s="27"/>
    </row>
    <row r="643">
      <c r="A643" s="28"/>
      <c r="B643" s="27"/>
      <c r="I643" s="27"/>
    </row>
    <row r="644">
      <c r="A644" s="28"/>
      <c r="B644" s="27"/>
      <c r="I644" s="27"/>
    </row>
    <row r="645">
      <c r="A645" s="28"/>
      <c r="B645" s="27"/>
      <c r="I645" s="27"/>
    </row>
    <row r="646">
      <c r="A646" s="28"/>
      <c r="B646" s="27"/>
      <c r="I646" s="27"/>
    </row>
    <row r="647">
      <c r="A647" s="28"/>
      <c r="B647" s="27"/>
      <c r="I647" s="27"/>
    </row>
    <row r="648">
      <c r="A648" s="28"/>
      <c r="B648" s="27"/>
      <c r="I648" s="27"/>
    </row>
    <row r="649">
      <c r="A649" s="28"/>
      <c r="B649" s="27"/>
      <c r="I649" s="27"/>
    </row>
    <row r="650">
      <c r="A650" s="28"/>
      <c r="B650" s="27"/>
      <c r="I650" s="27"/>
    </row>
    <row r="651">
      <c r="A651" s="28"/>
      <c r="B651" s="27"/>
      <c r="I651" s="27"/>
    </row>
    <row r="652">
      <c r="A652" s="28"/>
      <c r="B652" s="27"/>
      <c r="I652" s="27"/>
    </row>
    <row r="653">
      <c r="A653" s="28"/>
      <c r="B653" s="27"/>
      <c r="I653" s="27"/>
    </row>
    <row r="654">
      <c r="A654" s="28"/>
      <c r="B654" s="27"/>
      <c r="I654" s="27"/>
    </row>
    <row r="655">
      <c r="A655" s="28"/>
      <c r="B655" s="27"/>
      <c r="I655" s="27"/>
    </row>
    <row r="656">
      <c r="A656" s="28"/>
      <c r="B656" s="27"/>
      <c r="I656" s="27"/>
    </row>
    <row r="657">
      <c r="A657" s="28"/>
      <c r="B657" s="27"/>
      <c r="I657" s="27"/>
    </row>
    <row r="658">
      <c r="A658" s="28"/>
      <c r="B658" s="27"/>
      <c r="I658" s="27"/>
    </row>
    <row r="659">
      <c r="A659" s="28"/>
      <c r="B659" s="27"/>
      <c r="I659" s="27"/>
    </row>
    <row r="660">
      <c r="A660" s="28"/>
      <c r="B660" s="27"/>
      <c r="I660" s="27"/>
    </row>
    <row r="661">
      <c r="A661" s="28"/>
      <c r="B661" s="27"/>
      <c r="I661" s="27"/>
    </row>
    <row r="662">
      <c r="A662" s="28"/>
      <c r="B662" s="27"/>
      <c r="I662" s="27"/>
    </row>
    <row r="663">
      <c r="A663" s="28"/>
      <c r="B663" s="27"/>
      <c r="I663" s="27"/>
    </row>
    <row r="664">
      <c r="A664" s="28"/>
      <c r="B664" s="27"/>
      <c r="I664" s="27"/>
    </row>
    <row r="665">
      <c r="A665" s="28"/>
      <c r="B665" s="27"/>
      <c r="I665" s="27"/>
    </row>
    <row r="666">
      <c r="A666" s="28"/>
      <c r="B666" s="27"/>
      <c r="I666" s="27"/>
    </row>
    <row r="667">
      <c r="A667" s="28"/>
      <c r="B667" s="27"/>
      <c r="I667" s="27"/>
    </row>
    <row r="668">
      <c r="A668" s="28"/>
      <c r="B668" s="27"/>
      <c r="I668" s="27"/>
    </row>
    <row r="669">
      <c r="A669" s="28"/>
      <c r="B669" s="27"/>
      <c r="I669" s="27"/>
    </row>
    <row r="670">
      <c r="A670" s="28"/>
      <c r="B670" s="27"/>
      <c r="I670" s="27"/>
    </row>
    <row r="671">
      <c r="A671" s="28"/>
      <c r="B671" s="27"/>
      <c r="I671" s="27"/>
    </row>
    <row r="672">
      <c r="A672" s="28"/>
      <c r="B672" s="27"/>
      <c r="I672" s="27"/>
    </row>
    <row r="673">
      <c r="A673" s="28"/>
      <c r="B673" s="27"/>
      <c r="I673" s="27"/>
    </row>
    <row r="674">
      <c r="A674" s="28"/>
      <c r="B674" s="27"/>
      <c r="I674" s="27"/>
    </row>
    <row r="675">
      <c r="A675" s="28"/>
      <c r="B675" s="27"/>
      <c r="I675" s="27"/>
    </row>
    <row r="676">
      <c r="A676" s="28"/>
      <c r="B676" s="27"/>
      <c r="I676" s="27"/>
    </row>
    <row r="677">
      <c r="A677" s="28"/>
      <c r="B677" s="27"/>
      <c r="I677" s="27"/>
    </row>
    <row r="678">
      <c r="A678" s="28"/>
      <c r="B678" s="27"/>
      <c r="I678" s="27"/>
    </row>
    <row r="679">
      <c r="A679" s="28"/>
      <c r="B679" s="27"/>
      <c r="I679" s="27"/>
    </row>
    <row r="680">
      <c r="A680" s="28"/>
      <c r="B680" s="27"/>
      <c r="I680" s="27"/>
    </row>
    <row r="681">
      <c r="A681" s="28"/>
      <c r="B681" s="27"/>
      <c r="I681" s="27"/>
    </row>
    <row r="682">
      <c r="A682" s="28"/>
      <c r="B682" s="27"/>
      <c r="I682" s="27"/>
    </row>
    <row r="683">
      <c r="A683" s="28"/>
      <c r="B683" s="27"/>
      <c r="I683" s="27"/>
    </row>
    <row r="684">
      <c r="A684" s="28"/>
      <c r="B684" s="27"/>
      <c r="I684" s="27"/>
    </row>
    <row r="685">
      <c r="A685" s="28"/>
      <c r="B685" s="27"/>
      <c r="I685" s="27"/>
    </row>
    <row r="686">
      <c r="A686" s="28"/>
      <c r="B686" s="27"/>
      <c r="I686" s="27"/>
    </row>
    <row r="687">
      <c r="A687" s="28"/>
      <c r="B687" s="27"/>
      <c r="I687" s="27"/>
    </row>
    <row r="688">
      <c r="A688" s="28"/>
      <c r="B688" s="27"/>
      <c r="I688" s="27"/>
    </row>
    <row r="689">
      <c r="A689" s="28"/>
      <c r="B689" s="27"/>
      <c r="I689" s="27"/>
    </row>
    <row r="690">
      <c r="A690" s="28"/>
      <c r="B690" s="27"/>
      <c r="I690" s="27"/>
    </row>
    <row r="691">
      <c r="A691" s="28"/>
      <c r="B691" s="27"/>
      <c r="I691" s="27"/>
    </row>
    <row r="692">
      <c r="A692" s="28"/>
      <c r="B692" s="27"/>
      <c r="I692" s="27"/>
    </row>
    <row r="693">
      <c r="A693" s="28"/>
      <c r="B693" s="27"/>
      <c r="I693" s="27"/>
    </row>
    <row r="694">
      <c r="A694" s="28"/>
      <c r="B694" s="27"/>
      <c r="I694" s="27"/>
    </row>
    <row r="695">
      <c r="A695" s="28"/>
      <c r="B695" s="27"/>
      <c r="I695" s="27"/>
    </row>
    <row r="696">
      <c r="A696" s="28"/>
      <c r="B696" s="27"/>
      <c r="I696" s="27"/>
    </row>
    <row r="697">
      <c r="A697" s="28"/>
      <c r="B697" s="27"/>
      <c r="I697" s="27"/>
    </row>
    <row r="698">
      <c r="A698" s="28"/>
      <c r="B698" s="27"/>
      <c r="I698" s="27"/>
    </row>
    <row r="699">
      <c r="A699" s="28"/>
      <c r="B699" s="27"/>
      <c r="I699" s="27"/>
    </row>
    <row r="700">
      <c r="A700" s="28"/>
      <c r="B700" s="27"/>
      <c r="I700" s="27"/>
    </row>
    <row r="701">
      <c r="A701" s="28"/>
      <c r="B701" s="27"/>
      <c r="I701" s="27"/>
    </row>
    <row r="702">
      <c r="A702" s="28"/>
      <c r="B702" s="27"/>
      <c r="I702" s="27"/>
    </row>
    <row r="703">
      <c r="A703" s="28"/>
      <c r="B703" s="27"/>
      <c r="I703" s="27"/>
    </row>
    <row r="704">
      <c r="A704" s="28"/>
      <c r="B704" s="27"/>
      <c r="I704" s="27"/>
    </row>
    <row r="705">
      <c r="A705" s="28"/>
      <c r="B705" s="27"/>
      <c r="I705" s="27"/>
    </row>
    <row r="706">
      <c r="A706" s="28"/>
      <c r="B706" s="27"/>
      <c r="I706" s="27"/>
    </row>
    <row r="707">
      <c r="A707" s="28"/>
      <c r="B707" s="27"/>
      <c r="I707" s="27"/>
    </row>
    <row r="708">
      <c r="A708" s="28"/>
      <c r="B708" s="27"/>
      <c r="I708" s="27"/>
    </row>
    <row r="709">
      <c r="A709" s="28"/>
      <c r="B709" s="27"/>
      <c r="I709" s="27"/>
    </row>
    <row r="710">
      <c r="A710" s="28"/>
      <c r="B710" s="27"/>
      <c r="I710" s="27"/>
    </row>
    <row r="711">
      <c r="A711" s="28"/>
      <c r="B711" s="27"/>
      <c r="I711" s="27"/>
    </row>
    <row r="712">
      <c r="A712" s="28"/>
      <c r="B712" s="27"/>
      <c r="I712" s="27"/>
    </row>
    <row r="713">
      <c r="A713" s="28"/>
      <c r="B713" s="27"/>
      <c r="I713" s="27"/>
    </row>
    <row r="714">
      <c r="A714" s="28"/>
      <c r="B714" s="27"/>
      <c r="I714" s="27"/>
    </row>
    <row r="715">
      <c r="A715" s="28"/>
      <c r="B715" s="27"/>
      <c r="I715" s="27"/>
    </row>
    <row r="716">
      <c r="A716" s="28"/>
      <c r="B716" s="27"/>
      <c r="I716" s="27"/>
    </row>
    <row r="717">
      <c r="A717" s="28"/>
      <c r="B717" s="27"/>
      <c r="I717" s="27"/>
    </row>
    <row r="718">
      <c r="A718" s="28"/>
      <c r="B718" s="27"/>
      <c r="I718" s="27"/>
    </row>
    <row r="719">
      <c r="A719" s="28"/>
      <c r="B719" s="27"/>
      <c r="I719" s="27"/>
    </row>
    <row r="720">
      <c r="A720" s="28"/>
      <c r="B720" s="27"/>
      <c r="I720" s="27"/>
    </row>
    <row r="721">
      <c r="A721" s="28"/>
      <c r="B721" s="27"/>
      <c r="I721" s="27"/>
    </row>
    <row r="722">
      <c r="A722" s="28"/>
      <c r="B722" s="27"/>
      <c r="I722" s="27"/>
    </row>
    <row r="723">
      <c r="A723" s="28"/>
      <c r="B723" s="27"/>
      <c r="I723" s="27"/>
    </row>
    <row r="724">
      <c r="A724" s="28"/>
      <c r="B724" s="27"/>
      <c r="I724" s="27"/>
    </row>
    <row r="725">
      <c r="A725" s="28"/>
      <c r="B725" s="27"/>
      <c r="I725" s="27"/>
    </row>
    <row r="726">
      <c r="A726" s="28"/>
      <c r="B726" s="27"/>
      <c r="I726" s="27"/>
    </row>
    <row r="727">
      <c r="A727" s="28"/>
      <c r="B727" s="27"/>
      <c r="I727" s="27"/>
    </row>
    <row r="728">
      <c r="A728" s="28"/>
      <c r="B728" s="27"/>
      <c r="I728" s="27"/>
    </row>
    <row r="729">
      <c r="A729" s="28"/>
      <c r="B729" s="27"/>
      <c r="I729" s="27"/>
    </row>
    <row r="730">
      <c r="A730" s="28"/>
      <c r="B730" s="27"/>
      <c r="I730" s="27"/>
    </row>
    <row r="731">
      <c r="A731" s="28"/>
      <c r="B731" s="27"/>
      <c r="I731" s="27"/>
    </row>
    <row r="732">
      <c r="A732" s="28"/>
      <c r="B732" s="27"/>
      <c r="I732" s="27"/>
    </row>
    <row r="733">
      <c r="A733" s="28"/>
      <c r="B733" s="27"/>
      <c r="I733" s="27"/>
    </row>
    <row r="734">
      <c r="A734" s="28"/>
      <c r="B734" s="27"/>
      <c r="I734" s="27"/>
    </row>
    <row r="735">
      <c r="A735" s="28"/>
      <c r="B735" s="27"/>
      <c r="I735" s="27"/>
    </row>
    <row r="736">
      <c r="A736" s="28"/>
      <c r="B736" s="27"/>
      <c r="I736" s="27"/>
    </row>
    <row r="737">
      <c r="A737" s="28"/>
      <c r="B737" s="27"/>
      <c r="I737" s="27"/>
    </row>
    <row r="738">
      <c r="A738" s="28"/>
      <c r="B738" s="27"/>
      <c r="I738" s="27"/>
    </row>
    <row r="739">
      <c r="A739" s="28"/>
      <c r="B739" s="27"/>
      <c r="I739" s="27"/>
    </row>
    <row r="740">
      <c r="A740" s="28"/>
      <c r="B740" s="27"/>
      <c r="I740" s="27"/>
    </row>
    <row r="741">
      <c r="A741" s="28"/>
      <c r="B741" s="27"/>
      <c r="I741" s="27"/>
    </row>
    <row r="742">
      <c r="A742" s="28"/>
      <c r="B742" s="27"/>
      <c r="I742" s="27"/>
    </row>
    <row r="743">
      <c r="A743" s="28"/>
      <c r="B743" s="27"/>
      <c r="I743" s="27"/>
    </row>
    <row r="744">
      <c r="A744" s="28"/>
      <c r="B744" s="27"/>
      <c r="I744" s="27"/>
    </row>
    <row r="745">
      <c r="A745" s="28"/>
      <c r="B745" s="27"/>
      <c r="I745" s="27"/>
    </row>
    <row r="746">
      <c r="A746" s="28"/>
      <c r="B746" s="27"/>
      <c r="I746" s="27"/>
    </row>
    <row r="747">
      <c r="A747" s="28"/>
      <c r="B747" s="27"/>
      <c r="I747" s="27"/>
    </row>
    <row r="748">
      <c r="A748" s="28"/>
      <c r="B748" s="27"/>
      <c r="I748" s="27"/>
    </row>
    <row r="749">
      <c r="A749" s="28"/>
      <c r="B749" s="27"/>
      <c r="I749" s="27"/>
    </row>
    <row r="750">
      <c r="A750" s="28"/>
      <c r="B750" s="27"/>
      <c r="I750" s="27"/>
    </row>
    <row r="751">
      <c r="A751" s="28"/>
      <c r="B751" s="27"/>
      <c r="I751" s="27"/>
    </row>
    <row r="752">
      <c r="A752" s="28"/>
      <c r="B752" s="27"/>
      <c r="I752" s="27"/>
    </row>
    <row r="753">
      <c r="A753" s="28"/>
      <c r="B753" s="27"/>
      <c r="I753" s="27"/>
    </row>
    <row r="754">
      <c r="A754" s="28"/>
      <c r="B754" s="27"/>
      <c r="I754" s="27"/>
    </row>
    <row r="755">
      <c r="A755" s="28"/>
      <c r="B755" s="27"/>
      <c r="I755" s="27"/>
    </row>
    <row r="756">
      <c r="A756" s="28"/>
      <c r="B756" s="27"/>
      <c r="I756" s="27"/>
    </row>
    <row r="757">
      <c r="A757" s="28"/>
      <c r="B757" s="27"/>
      <c r="I757" s="27"/>
    </row>
    <row r="758">
      <c r="A758" s="28"/>
      <c r="B758" s="27"/>
      <c r="I758" s="27"/>
    </row>
    <row r="759">
      <c r="A759" s="28"/>
      <c r="B759" s="27"/>
      <c r="I759" s="27"/>
    </row>
    <row r="760">
      <c r="A760" s="28"/>
      <c r="B760" s="27"/>
      <c r="I760" s="27"/>
    </row>
    <row r="761">
      <c r="A761" s="28"/>
      <c r="B761" s="27"/>
      <c r="I761" s="27"/>
    </row>
    <row r="762">
      <c r="A762" s="28"/>
      <c r="B762" s="27"/>
      <c r="I762" s="27"/>
    </row>
    <row r="763">
      <c r="A763" s="28"/>
      <c r="B763" s="27"/>
      <c r="I763" s="27"/>
    </row>
    <row r="764">
      <c r="A764" s="28"/>
      <c r="B764" s="27"/>
      <c r="I764" s="27"/>
    </row>
    <row r="765">
      <c r="A765" s="28"/>
      <c r="B765" s="27"/>
      <c r="I765" s="27"/>
    </row>
    <row r="766">
      <c r="A766" s="28"/>
      <c r="B766" s="27"/>
      <c r="I766" s="27"/>
    </row>
    <row r="767">
      <c r="A767" s="28"/>
      <c r="B767" s="27"/>
      <c r="I767" s="27"/>
    </row>
    <row r="768">
      <c r="A768" s="28"/>
      <c r="B768" s="27"/>
      <c r="I768" s="27"/>
    </row>
    <row r="769">
      <c r="A769" s="28"/>
      <c r="B769" s="27"/>
      <c r="I769" s="27"/>
    </row>
    <row r="770">
      <c r="A770" s="28"/>
      <c r="B770" s="27"/>
      <c r="I770" s="27"/>
    </row>
    <row r="771">
      <c r="A771" s="28"/>
      <c r="B771" s="27"/>
      <c r="I771" s="27"/>
    </row>
    <row r="772">
      <c r="A772" s="28"/>
      <c r="B772" s="27"/>
      <c r="I772" s="27"/>
    </row>
    <row r="773">
      <c r="A773" s="28"/>
      <c r="B773" s="27"/>
      <c r="I773" s="27"/>
    </row>
    <row r="774">
      <c r="A774" s="28"/>
      <c r="B774" s="27"/>
      <c r="I774" s="27"/>
    </row>
    <row r="775">
      <c r="A775" s="28"/>
      <c r="B775" s="27"/>
      <c r="I775" s="27"/>
    </row>
    <row r="776">
      <c r="A776" s="28"/>
      <c r="B776" s="27"/>
      <c r="I776" s="27"/>
    </row>
    <row r="777">
      <c r="A777" s="28"/>
      <c r="B777" s="27"/>
      <c r="I777" s="27"/>
    </row>
    <row r="778">
      <c r="A778" s="28"/>
      <c r="B778" s="27"/>
      <c r="I778" s="27"/>
    </row>
    <row r="779">
      <c r="A779" s="28"/>
      <c r="B779" s="27"/>
      <c r="I779" s="27"/>
    </row>
    <row r="780">
      <c r="A780" s="28"/>
      <c r="B780" s="27"/>
      <c r="I780" s="27"/>
    </row>
    <row r="781">
      <c r="A781" s="28"/>
      <c r="B781" s="27"/>
      <c r="I781" s="27"/>
    </row>
    <row r="782">
      <c r="A782" s="28"/>
      <c r="B782" s="27"/>
      <c r="I782" s="27"/>
    </row>
    <row r="783">
      <c r="A783" s="28"/>
      <c r="B783" s="27"/>
      <c r="I783" s="27"/>
    </row>
    <row r="784">
      <c r="A784" s="28"/>
      <c r="B784" s="27"/>
      <c r="I784" s="27"/>
    </row>
    <row r="785">
      <c r="A785" s="28"/>
      <c r="B785" s="27"/>
      <c r="I785" s="27"/>
    </row>
    <row r="786">
      <c r="A786" s="28"/>
      <c r="B786" s="27"/>
      <c r="I786" s="27"/>
    </row>
    <row r="787">
      <c r="A787" s="28"/>
      <c r="B787" s="27"/>
      <c r="I787" s="27"/>
    </row>
    <row r="788">
      <c r="A788" s="28"/>
      <c r="B788" s="27"/>
      <c r="I788" s="27"/>
    </row>
    <row r="789">
      <c r="A789" s="28"/>
      <c r="B789" s="27"/>
      <c r="I789" s="27"/>
    </row>
    <row r="790">
      <c r="A790" s="28"/>
      <c r="B790" s="27"/>
      <c r="I790" s="27"/>
    </row>
    <row r="791">
      <c r="A791" s="28"/>
      <c r="B791" s="27"/>
      <c r="I791" s="27"/>
    </row>
    <row r="792">
      <c r="A792" s="28"/>
      <c r="B792" s="27"/>
      <c r="I792" s="27"/>
    </row>
    <row r="793">
      <c r="A793" s="28"/>
      <c r="B793" s="27"/>
      <c r="I793" s="27"/>
    </row>
    <row r="794">
      <c r="A794" s="28"/>
      <c r="B794" s="27"/>
      <c r="I794" s="27"/>
    </row>
    <row r="795">
      <c r="A795" s="28"/>
      <c r="B795" s="27"/>
      <c r="I795" s="27"/>
    </row>
    <row r="796">
      <c r="A796" s="28"/>
      <c r="B796" s="27"/>
      <c r="I796" s="27"/>
    </row>
    <row r="797">
      <c r="A797" s="28"/>
      <c r="B797" s="27"/>
      <c r="I797" s="27"/>
    </row>
    <row r="798">
      <c r="A798" s="28"/>
      <c r="B798" s="27"/>
      <c r="I798" s="27"/>
    </row>
    <row r="799">
      <c r="A799" s="28"/>
      <c r="B799" s="27"/>
      <c r="I799" s="27"/>
    </row>
    <row r="800">
      <c r="A800" s="28"/>
      <c r="B800" s="27"/>
      <c r="I800" s="27"/>
    </row>
    <row r="801">
      <c r="A801" s="28"/>
      <c r="B801" s="27"/>
      <c r="I801" s="27"/>
    </row>
    <row r="802">
      <c r="A802" s="28"/>
      <c r="B802" s="27"/>
      <c r="I802" s="27"/>
    </row>
    <row r="803">
      <c r="A803" s="28"/>
      <c r="B803" s="27"/>
      <c r="I803" s="27"/>
    </row>
    <row r="804">
      <c r="A804" s="28"/>
      <c r="B804" s="27"/>
      <c r="I804" s="27"/>
    </row>
    <row r="805">
      <c r="A805" s="28"/>
      <c r="B805" s="27"/>
      <c r="I805" s="27"/>
    </row>
    <row r="806">
      <c r="A806" s="28"/>
      <c r="B806" s="27"/>
      <c r="I806" s="27"/>
    </row>
    <row r="807">
      <c r="A807" s="28"/>
      <c r="B807" s="27"/>
      <c r="I807" s="27"/>
    </row>
    <row r="808">
      <c r="A808" s="28"/>
      <c r="B808" s="27"/>
      <c r="I808" s="27"/>
    </row>
    <row r="809">
      <c r="A809" s="28"/>
      <c r="B809" s="27"/>
      <c r="I809" s="27"/>
    </row>
    <row r="810">
      <c r="A810" s="28"/>
      <c r="B810" s="27"/>
      <c r="I810" s="27"/>
    </row>
    <row r="811">
      <c r="A811" s="28"/>
      <c r="B811" s="27"/>
      <c r="I811" s="27"/>
    </row>
    <row r="812">
      <c r="A812" s="28"/>
      <c r="B812" s="27"/>
      <c r="I812" s="27"/>
    </row>
    <row r="813">
      <c r="A813" s="28"/>
      <c r="B813" s="27"/>
      <c r="I813" s="27"/>
    </row>
    <row r="814">
      <c r="A814" s="28"/>
      <c r="B814" s="27"/>
      <c r="I814" s="27"/>
    </row>
    <row r="815">
      <c r="A815" s="28"/>
      <c r="B815" s="27"/>
      <c r="I815" s="27"/>
    </row>
    <row r="816">
      <c r="A816" s="28"/>
      <c r="B816" s="27"/>
      <c r="I816" s="27"/>
    </row>
    <row r="817">
      <c r="A817" s="28"/>
      <c r="B817" s="27"/>
      <c r="I817" s="27"/>
    </row>
    <row r="818">
      <c r="A818" s="28"/>
      <c r="B818" s="27"/>
      <c r="I818" s="27"/>
    </row>
    <row r="819">
      <c r="A819" s="28"/>
      <c r="B819" s="27"/>
      <c r="I819" s="27"/>
    </row>
    <row r="820">
      <c r="A820" s="28"/>
      <c r="B820" s="27"/>
      <c r="I820" s="27"/>
    </row>
    <row r="821">
      <c r="A821" s="28"/>
      <c r="B821" s="27"/>
      <c r="I821" s="27"/>
    </row>
    <row r="822">
      <c r="A822" s="28"/>
      <c r="B822" s="27"/>
      <c r="I822" s="27"/>
    </row>
    <row r="823">
      <c r="A823" s="28"/>
      <c r="B823" s="27"/>
      <c r="I823" s="27"/>
    </row>
    <row r="824">
      <c r="A824" s="28"/>
      <c r="B824" s="27"/>
      <c r="I824" s="27"/>
    </row>
    <row r="825">
      <c r="A825" s="28"/>
      <c r="B825" s="27"/>
      <c r="I825" s="27"/>
    </row>
    <row r="826">
      <c r="A826" s="28"/>
      <c r="B826" s="27"/>
      <c r="I826" s="27"/>
    </row>
    <row r="827">
      <c r="A827" s="28"/>
      <c r="B827" s="27"/>
      <c r="I827" s="27"/>
    </row>
    <row r="828">
      <c r="A828" s="28"/>
      <c r="B828" s="27"/>
      <c r="I828" s="27"/>
    </row>
    <row r="829">
      <c r="A829" s="28"/>
      <c r="B829" s="27"/>
      <c r="I829" s="27"/>
    </row>
    <row r="830">
      <c r="A830" s="28"/>
      <c r="B830" s="27"/>
      <c r="I830" s="27"/>
    </row>
    <row r="831">
      <c r="A831" s="28"/>
      <c r="B831" s="27"/>
      <c r="I831" s="27"/>
    </row>
    <row r="832">
      <c r="A832" s="28"/>
      <c r="B832" s="27"/>
      <c r="I832" s="27"/>
    </row>
    <row r="833">
      <c r="A833" s="28"/>
      <c r="B833" s="27"/>
      <c r="I833" s="27"/>
    </row>
    <row r="834">
      <c r="A834" s="28"/>
      <c r="B834" s="27"/>
      <c r="I834" s="27"/>
    </row>
    <row r="835">
      <c r="A835" s="28"/>
      <c r="B835" s="27"/>
      <c r="I835" s="27"/>
    </row>
    <row r="836">
      <c r="A836" s="28"/>
      <c r="B836" s="27"/>
      <c r="I836" s="27"/>
    </row>
    <row r="837">
      <c r="A837" s="28"/>
      <c r="B837" s="27"/>
      <c r="I837" s="27"/>
    </row>
    <row r="838">
      <c r="A838" s="28"/>
      <c r="B838" s="27"/>
      <c r="I838" s="27"/>
    </row>
    <row r="839">
      <c r="A839" s="28"/>
      <c r="B839" s="27"/>
      <c r="I839" s="27"/>
    </row>
    <row r="840">
      <c r="A840" s="28"/>
      <c r="B840" s="27"/>
      <c r="I840" s="27"/>
    </row>
    <row r="841">
      <c r="A841" s="28"/>
      <c r="B841" s="27"/>
      <c r="I841" s="27"/>
    </row>
    <row r="842">
      <c r="A842" s="28"/>
      <c r="B842" s="27"/>
      <c r="I842" s="27"/>
    </row>
    <row r="843">
      <c r="A843" s="28"/>
      <c r="B843" s="27"/>
      <c r="I843" s="27"/>
    </row>
    <row r="844">
      <c r="A844" s="28"/>
      <c r="B844" s="27"/>
      <c r="I844" s="27"/>
    </row>
    <row r="845">
      <c r="A845" s="28"/>
      <c r="B845" s="27"/>
      <c r="I845" s="27"/>
    </row>
    <row r="846">
      <c r="A846" s="28"/>
      <c r="B846" s="27"/>
      <c r="I846" s="27"/>
    </row>
    <row r="847">
      <c r="A847" s="28"/>
      <c r="B847" s="27"/>
      <c r="I847" s="27"/>
    </row>
    <row r="848">
      <c r="A848" s="28"/>
      <c r="B848" s="27"/>
      <c r="I848" s="27"/>
    </row>
    <row r="849">
      <c r="A849" s="28"/>
      <c r="B849" s="27"/>
      <c r="I849" s="27"/>
    </row>
    <row r="850">
      <c r="A850" s="28"/>
      <c r="B850" s="27"/>
      <c r="I850" s="27"/>
    </row>
    <row r="851">
      <c r="A851" s="28"/>
      <c r="B851" s="27"/>
      <c r="I851" s="27"/>
    </row>
    <row r="852">
      <c r="A852" s="28"/>
      <c r="B852" s="27"/>
      <c r="I852" s="27"/>
    </row>
    <row r="853">
      <c r="A853" s="28"/>
      <c r="B853" s="27"/>
      <c r="I853" s="27"/>
    </row>
    <row r="854">
      <c r="A854" s="28"/>
      <c r="B854" s="27"/>
      <c r="I854" s="27"/>
    </row>
    <row r="855">
      <c r="A855" s="28"/>
      <c r="B855" s="27"/>
      <c r="I855" s="27"/>
    </row>
    <row r="856">
      <c r="A856" s="28"/>
      <c r="B856" s="27"/>
      <c r="I856" s="27"/>
    </row>
    <row r="857">
      <c r="A857" s="28"/>
      <c r="B857" s="27"/>
      <c r="I857" s="27"/>
    </row>
    <row r="858">
      <c r="A858" s="28"/>
      <c r="B858" s="27"/>
      <c r="I858" s="27"/>
    </row>
    <row r="859">
      <c r="A859" s="28"/>
      <c r="B859" s="27"/>
      <c r="I859" s="27"/>
    </row>
    <row r="860">
      <c r="A860" s="28"/>
      <c r="B860" s="27"/>
      <c r="I860" s="27"/>
    </row>
    <row r="861">
      <c r="A861" s="28"/>
      <c r="B861" s="27"/>
      <c r="I861" s="27"/>
    </row>
    <row r="862">
      <c r="A862" s="28"/>
      <c r="B862" s="27"/>
      <c r="I862" s="27"/>
    </row>
    <row r="863">
      <c r="A863" s="28"/>
      <c r="B863" s="27"/>
      <c r="I863" s="27"/>
    </row>
    <row r="864">
      <c r="A864" s="28"/>
      <c r="B864" s="27"/>
      <c r="I864" s="27"/>
    </row>
    <row r="865">
      <c r="A865" s="28"/>
      <c r="B865" s="27"/>
      <c r="I865" s="27"/>
    </row>
    <row r="866">
      <c r="A866" s="28"/>
      <c r="B866" s="27"/>
      <c r="I866" s="27"/>
    </row>
    <row r="867">
      <c r="A867" s="28"/>
      <c r="B867" s="27"/>
      <c r="I867" s="27"/>
    </row>
    <row r="868">
      <c r="A868" s="28"/>
      <c r="B868" s="27"/>
      <c r="I868" s="27"/>
    </row>
    <row r="869">
      <c r="A869" s="28"/>
      <c r="B869" s="27"/>
      <c r="I869" s="27"/>
    </row>
    <row r="870">
      <c r="A870" s="28"/>
      <c r="B870" s="27"/>
      <c r="I870" s="27"/>
    </row>
    <row r="871">
      <c r="A871" s="28"/>
      <c r="B871" s="27"/>
      <c r="I871" s="27"/>
    </row>
    <row r="872">
      <c r="A872" s="28"/>
      <c r="B872" s="27"/>
      <c r="I872" s="27"/>
    </row>
    <row r="873">
      <c r="A873" s="28"/>
      <c r="B873" s="27"/>
      <c r="I873" s="27"/>
    </row>
    <row r="874">
      <c r="A874" s="28"/>
      <c r="B874" s="27"/>
      <c r="I874" s="27"/>
    </row>
    <row r="875">
      <c r="A875" s="28"/>
      <c r="B875" s="27"/>
      <c r="I875" s="27"/>
    </row>
    <row r="876">
      <c r="A876" s="28"/>
      <c r="B876" s="27"/>
      <c r="I876" s="27"/>
    </row>
    <row r="877">
      <c r="A877" s="28"/>
      <c r="B877" s="27"/>
      <c r="I877" s="27"/>
    </row>
    <row r="878">
      <c r="A878" s="28"/>
      <c r="B878" s="27"/>
      <c r="I878" s="27"/>
    </row>
    <row r="879">
      <c r="A879" s="28"/>
      <c r="B879" s="27"/>
      <c r="I879" s="27"/>
    </row>
    <row r="880">
      <c r="A880" s="28"/>
      <c r="B880" s="27"/>
      <c r="I880" s="27"/>
    </row>
    <row r="881">
      <c r="A881" s="28"/>
      <c r="B881" s="27"/>
      <c r="I881" s="27"/>
    </row>
    <row r="882">
      <c r="A882" s="28"/>
      <c r="B882" s="27"/>
      <c r="I882" s="27"/>
    </row>
    <row r="883">
      <c r="A883" s="28"/>
      <c r="B883" s="27"/>
      <c r="I883" s="27"/>
    </row>
    <row r="884">
      <c r="A884" s="28"/>
      <c r="B884" s="27"/>
      <c r="I884" s="27"/>
    </row>
    <row r="885">
      <c r="A885" s="28"/>
      <c r="B885" s="27"/>
      <c r="I885" s="27"/>
    </row>
    <row r="886">
      <c r="A886" s="28"/>
      <c r="B886" s="27"/>
      <c r="I886" s="27"/>
    </row>
    <row r="887">
      <c r="A887" s="28"/>
      <c r="B887" s="27"/>
      <c r="I887" s="27"/>
    </row>
    <row r="888">
      <c r="A888" s="28"/>
      <c r="B888" s="27"/>
      <c r="I888" s="27"/>
    </row>
    <row r="889">
      <c r="A889" s="28"/>
      <c r="B889" s="27"/>
      <c r="I889" s="27"/>
    </row>
    <row r="890">
      <c r="A890" s="28"/>
      <c r="B890" s="27"/>
      <c r="I890" s="27"/>
    </row>
    <row r="891">
      <c r="A891" s="28"/>
      <c r="B891" s="27"/>
      <c r="I891" s="27"/>
    </row>
    <row r="892">
      <c r="A892" s="28"/>
      <c r="B892" s="27"/>
      <c r="I892" s="27"/>
    </row>
    <row r="893">
      <c r="A893" s="28"/>
      <c r="B893" s="27"/>
      <c r="I893" s="27"/>
    </row>
    <row r="894">
      <c r="A894" s="28"/>
      <c r="B894" s="27"/>
      <c r="I894" s="27"/>
    </row>
    <row r="895">
      <c r="A895" s="28"/>
      <c r="B895" s="27"/>
      <c r="I895" s="27"/>
    </row>
    <row r="896">
      <c r="A896" s="28"/>
      <c r="B896" s="27"/>
      <c r="I896" s="27"/>
    </row>
    <row r="897">
      <c r="A897" s="28"/>
      <c r="B897" s="27"/>
      <c r="I897" s="27"/>
    </row>
    <row r="898">
      <c r="A898" s="28"/>
      <c r="B898" s="27"/>
      <c r="I898" s="27"/>
    </row>
    <row r="899">
      <c r="A899" s="28"/>
      <c r="B899" s="27"/>
      <c r="I899" s="27"/>
    </row>
    <row r="900">
      <c r="A900" s="28"/>
      <c r="B900" s="27"/>
      <c r="I900" s="27"/>
    </row>
    <row r="901">
      <c r="A901" s="28"/>
      <c r="B901" s="27"/>
      <c r="I901" s="27"/>
    </row>
    <row r="902">
      <c r="A902" s="28"/>
      <c r="B902" s="27"/>
      <c r="I902" s="27"/>
    </row>
    <row r="903">
      <c r="A903" s="28"/>
      <c r="B903" s="27"/>
      <c r="I903" s="27"/>
    </row>
    <row r="904">
      <c r="A904" s="28"/>
      <c r="B904" s="27"/>
      <c r="I904" s="27"/>
    </row>
    <row r="905">
      <c r="A905" s="28"/>
      <c r="B905" s="27"/>
      <c r="I905" s="27"/>
    </row>
    <row r="906">
      <c r="A906" s="28"/>
      <c r="B906" s="27"/>
      <c r="I906" s="27"/>
    </row>
    <row r="907">
      <c r="A907" s="28"/>
      <c r="B907" s="27"/>
      <c r="I907" s="27"/>
    </row>
    <row r="908">
      <c r="A908" s="28"/>
      <c r="B908" s="27"/>
      <c r="I908" s="27"/>
    </row>
    <row r="909">
      <c r="A909" s="28"/>
      <c r="B909" s="27"/>
      <c r="I909" s="27"/>
    </row>
    <row r="910">
      <c r="A910" s="28"/>
      <c r="B910" s="27"/>
      <c r="I910" s="27"/>
    </row>
    <row r="911">
      <c r="A911" s="28"/>
      <c r="B911" s="27"/>
      <c r="I911" s="27"/>
    </row>
    <row r="912">
      <c r="A912" s="28"/>
      <c r="B912" s="27"/>
      <c r="I912" s="27"/>
    </row>
    <row r="913">
      <c r="A913" s="28"/>
      <c r="B913" s="27"/>
      <c r="I913" s="27"/>
    </row>
    <row r="914">
      <c r="A914" s="28"/>
      <c r="B914" s="27"/>
      <c r="I914" s="27"/>
    </row>
    <row r="915">
      <c r="A915" s="28"/>
      <c r="B915" s="27"/>
      <c r="I915" s="27"/>
    </row>
    <row r="916">
      <c r="A916" s="28"/>
      <c r="B916" s="27"/>
      <c r="I916" s="27"/>
    </row>
    <row r="917">
      <c r="A917" s="28"/>
      <c r="B917" s="27"/>
      <c r="I917" s="27"/>
    </row>
    <row r="918">
      <c r="A918" s="28"/>
      <c r="B918" s="27"/>
      <c r="I918" s="27"/>
    </row>
    <row r="919">
      <c r="A919" s="28"/>
      <c r="B919" s="27"/>
      <c r="I919" s="27"/>
    </row>
    <row r="920">
      <c r="A920" s="28"/>
      <c r="B920" s="27"/>
      <c r="I920" s="27"/>
    </row>
    <row r="921">
      <c r="A921" s="28"/>
      <c r="B921" s="27"/>
      <c r="I921" s="27"/>
    </row>
    <row r="922">
      <c r="A922" s="28"/>
      <c r="B922" s="27"/>
      <c r="I922" s="27"/>
    </row>
    <row r="923">
      <c r="A923" s="28"/>
      <c r="B923" s="27"/>
      <c r="I923" s="27"/>
    </row>
    <row r="924">
      <c r="A924" s="28"/>
      <c r="B924" s="27"/>
      <c r="I924" s="27"/>
    </row>
    <row r="925">
      <c r="A925" s="28"/>
      <c r="B925" s="27"/>
      <c r="I925" s="27"/>
    </row>
    <row r="926">
      <c r="A926" s="28"/>
      <c r="B926" s="27"/>
      <c r="I926" s="27"/>
    </row>
    <row r="927">
      <c r="A927" s="28"/>
      <c r="B927" s="27"/>
      <c r="I927" s="27"/>
    </row>
    <row r="928">
      <c r="A928" s="28"/>
      <c r="B928" s="27"/>
      <c r="I928" s="27"/>
    </row>
    <row r="929">
      <c r="A929" s="28"/>
      <c r="B929" s="27"/>
      <c r="I929" s="27"/>
    </row>
    <row r="930">
      <c r="A930" s="28"/>
      <c r="B930" s="27"/>
      <c r="I930" s="27"/>
    </row>
    <row r="931">
      <c r="A931" s="28"/>
      <c r="B931" s="27"/>
      <c r="I931" s="27"/>
    </row>
    <row r="932">
      <c r="A932" s="28"/>
      <c r="B932" s="27"/>
      <c r="I932" s="27"/>
    </row>
    <row r="933">
      <c r="A933" s="28"/>
      <c r="B933" s="27"/>
      <c r="I933" s="27"/>
    </row>
    <row r="934">
      <c r="A934" s="28"/>
      <c r="B934" s="27"/>
      <c r="I934" s="27"/>
    </row>
    <row r="935">
      <c r="A935" s="28"/>
      <c r="B935" s="27"/>
      <c r="I935" s="27"/>
    </row>
    <row r="936">
      <c r="A936" s="28"/>
      <c r="B936" s="27"/>
      <c r="I936" s="27"/>
    </row>
    <row r="937">
      <c r="A937" s="28"/>
      <c r="B937" s="27"/>
      <c r="I937" s="27"/>
    </row>
    <row r="938">
      <c r="A938" s="28"/>
      <c r="B938" s="27"/>
      <c r="I938" s="27"/>
    </row>
    <row r="939">
      <c r="A939" s="28"/>
      <c r="B939" s="27"/>
      <c r="I939" s="27"/>
    </row>
    <row r="940">
      <c r="A940" s="28"/>
      <c r="B940" s="27"/>
      <c r="I940" s="27"/>
    </row>
    <row r="941">
      <c r="A941" s="28"/>
      <c r="B941" s="27"/>
      <c r="I941" s="27"/>
    </row>
    <row r="942">
      <c r="A942" s="28"/>
      <c r="B942" s="27"/>
      <c r="I942" s="27"/>
    </row>
    <row r="943">
      <c r="A943" s="28"/>
      <c r="B943" s="27"/>
      <c r="I943" s="27"/>
    </row>
    <row r="944">
      <c r="A944" s="28"/>
      <c r="B944" s="27"/>
      <c r="I944" s="27"/>
    </row>
    <row r="945">
      <c r="A945" s="28"/>
      <c r="B945" s="27"/>
      <c r="I945" s="27"/>
    </row>
    <row r="946">
      <c r="A946" s="28"/>
      <c r="B946" s="27"/>
      <c r="I946" s="27"/>
    </row>
    <row r="947">
      <c r="A947" s="28"/>
      <c r="B947" s="27"/>
      <c r="I947" s="27"/>
    </row>
    <row r="948">
      <c r="A948" s="28"/>
      <c r="B948" s="27"/>
      <c r="I948" s="27"/>
    </row>
    <row r="949">
      <c r="A949" s="28"/>
      <c r="B949" s="27"/>
      <c r="I949" s="27"/>
    </row>
    <row r="950">
      <c r="A950" s="28"/>
      <c r="B950" s="27"/>
      <c r="I950" s="27"/>
    </row>
    <row r="951">
      <c r="A951" s="28"/>
      <c r="B951" s="27"/>
      <c r="I951" s="27"/>
    </row>
    <row r="952">
      <c r="A952" s="28"/>
      <c r="B952" s="27"/>
      <c r="I952" s="27"/>
    </row>
    <row r="953">
      <c r="A953" s="28"/>
      <c r="B953" s="27"/>
      <c r="I953" s="27"/>
    </row>
    <row r="954">
      <c r="A954" s="28"/>
      <c r="B954" s="27"/>
      <c r="I954" s="27"/>
    </row>
    <row r="955">
      <c r="A955" s="28"/>
      <c r="B955" s="27"/>
      <c r="I955" s="27"/>
    </row>
    <row r="956">
      <c r="A956" s="28"/>
      <c r="B956" s="27"/>
      <c r="I956" s="27"/>
    </row>
    <row r="957">
      <c r="A957" s="28"/>
      <c r="B957" s="27"/>
      <c r="I957" s="27"/>
    </row>
    <row r="958">
      <c r="A958" s="28"/>
      <c r="B958" s="27"/>
      <c r="I958" s="27"/>
    </row>
    <row r="959">
      <c r="A959" s="28"/>
      <c r="B959" s="27"/>
      <c r="I959" s="27"/>
    </row>
    <row r="960">
      <c r="A960" s="28"/>
      <c r="B960" s="27"/>
      <c r="I960" s="27"/>
    </row>
    <row r="961">
      <c r="A961" s="28"/>
      <c r="B961" s="27"/>
      <c r="I961" s="27"/>
    </row>
    <row r="962">
      <c r="A962" s="28"/>
      <c r="B962" s="27"/>
      <c r="I962" s="27"/>
    </row>
    <row r="963">
      <c r="A963" s="28"/>
      <c r="B963" s="27"/>
      <c r="I963" s="27"/>
    </row>
    <row r="964">
      <c r="A964" s="28"/>
      <c r="B964" s="27"/>
      <c r="I964" s="27"/>
    </row>
    <row r="965">
      <c r="A965" s="28"/>
      <c r="B965" s="27"/>
      <c r="I965" s="27"/>
    </row>
    <row r="966">
      <c r="A966" s="28"/>
      <c r="B966" s="27"/>
      <c r="I966" s="27"/>
    </row>
    <row r="967">
      <c r="A967" s="28"/>
      <c r="B967" s="27"/>
      <c r="I967" s="27"/>
    </row>
    <row r="968">
      <c r="A968" s="28"/>
      <c r="B968" s="27"/>
      <c r="I968" s="27"/>
    </row>
    <row r="969">
      <c r="A969" s="28"/>
      <c r="B969" s="27"/>
      <c r="I969" s="27"/>
    </row>
    <row r="970">
      <c r="A970" s="28"/>
      <c r="B970" s="27"/>
      <c r="I970" s="27"/>
    </row>
    <row r="971">
      <c r="A971" s="28"/>
      <c r="B971" s="27"/>
      <c r="I971" s="27"/>
    </row>
    <row r="972">
      <c r="A972" s="28"/>
      <c r="B972" s="27"/>
      <c r="I972" s="27"/>
    </row>
    <row r="973">
      <c r="A973" s="28"/>
      <c r="B973" s="27"/>
      <c r="I973" s="27"/>
    </row>
    <row r="974">
      <c r="A974" s="28"/>
      <c r="B974" s="27"/>
      <c r="I974" s="27"/>
    </row>
    <row r="975">
      <c r="A975" s="28"/>
      <c r="B975" s="27"/>
      <c r="I975" s="27"/>
    </row>
    <row r="976">
      <c r="A976" s="28"/>
      <c r="B976" s="27"/>
      <c r="I976" s="27"/>
    </row>
    <row r="977">
      <c r="A977" s="28"/>
      <c r="B977" s="27"/>
      <c r="I977" s="27"/>
    </row>
    <row r="978">
      <c r="A978" s="28"/>
      <c r="B978" s="27"/>
      <c r="I978" s="27"/>
    </row>
    <row r="979">
      <c r="A979" s="28"/>
      <c r="B979" s="27"/>
      <c r="I979" s="27"/>
    </row>
    <row r="980">
      <c r="A980" s="28"/>
      <c r="B980" s="27"/>
      <c r="I980" s="27"/>
    </row>
    <row r="981">
      <c r="A981" s="28"/>
      <c r="B981" s="27"/>
      <c r="I981" s="27"/>
    </row>
    <row r="982">
      <c r="A982" s="28"/>
      <c r="B982" s="27"/>
      <c r="I982" s="27"/>
    </row>
    <row r="983">
      <c r="A983" s="28"/>
      <c r="B983" s="27"/>
      <c r="I983" s="27"/>
    </row>
    <row r="984">
      <c r="A984" s="28"/>
      <c r="B984" s="27"/>
      <c r="I984" s="27"/>
    </row>
    <row r="985">
      <c r="A985" s="28"/>
      <c r="B985" s="27"/>
      <c r="I985" s="27"/>
    </row>
    <row r="986">
      <c r="A986" s="28"/>
      <c r="B986" s="27"/>
      <c r="I986" s="27"/>
    </row>
    <row r="987">
      <c r="A987" s="28"/>
      <c r="B987" s="27"/>
      <c r="I987" s="27"/>
    </row>
    <row r="988">
      <c r="A988" s="28"/>
      <c r="B988" s="27"/>
      <c r="I988" s="27"/>
    </row>
    <row r="989">
      <c r="A989" s="28"/>
      <c r="B989" s="27"/>
      <c r="I989" s="27"/>
    </row>
    <row r="990">
      <c r="A990" s="28"/>
      <c r="B990" s="27"/>
      <c r="I990" s="27"/>
    </row>
    <row r="991">
      <c r="A991" s="28"/>
      <c r="B991" s="27"/>
      <c r="I991" s="27"/>
    </row>
    <row r="992">
      <c r="A992" s="28"/>
      <c r="B992" s="27"/>
      <c r="I992" s="27"/>
    </row>
    <row r="993">
      <c r="A993" s="28"/>
      <c r="B993" s="27"/>
      <c r="I993" s="27"/>
    </row>
    <row r="994">
      <c r="A994" s="28"/>
      <c r="B994" s="27"/>
      <c r="I994" s="27"/>
    </row>
    <row r="995">
      <c r="A995" s="28"/>
      <c r="B995" s="27"/>
      <c r="I995" s="27"/>
    </row>
    <row r="996">
      <c r="A996" s="28"/>
      <c r="B996" s="27"/>
      <c r="I996" s="27"/>
    </row>
    <row r="997">
      <c r="A997" s="28"/>
      <c r="B997" s="27"/>
      <c r="I997" s="27"/>
    </row>
    <row r="998">
      <c r="A998" s="28"/>
      <c r="B998" s="27"/>
      <c r="I998" s="27"/>
    </row>
    <row r="999">
      <c r="A999" s="28"/>
      <c r="B999" s="27"/>
      <c r="I999" s="27"/>
    </row>
    <row r="1000">
      <c r="A1000" s="28"/>
      <c r="B1000" s="27"/>
      <c r="I1000" s="27"/>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4" max="4" width="14.38"/>
    <col customWidth="1" min="5" max="5" width="13.88"/>
    <col customWidth="1" min="6" max="6" width="16.88"/>
    <col customWidth="1" min="10" max="10" width="14.5"/>
    <col customWidth="1" min="11" max="11" width="6.63"/>
    <col customWidth="1" min="13" max="13" width="10.88"/>
    <col customWidth="1" min="14" max="14" width="7.5"/>
    <col customWidth="1" min="17" max="17" width="8.5"/>
  </cols>
  <sheetData>
    <row r="1" ht="22.5" customHeight="1">
      <c r="A1" s="29" t="s">
        <v>40</v>
      </c>
      <c r="B1" s="30" t="s">
        <v>41</v>
      </c>
      <c r="C1" s="30" t="s">
        <v>42</v>
      </c>
      <c r="D1" s="30" t="s">
        <v>43</v>
      </c>
      <c r="E1" s="30" t="s">
        <v>44</v>
      </c>
      <c r="F1" s="30" t="s">
        <v>45</v>
      </c>
      <c r="G1" s="30" t="s">
        <v>46</v>
      </c>
      <c r="H1" s="30" t="s">
        <v>47</v>
      </c>
      <c r="I1" s="31" t="s">
        <v>48</v>
      </c>
      <c r="J1" s="14" t="s">
        <v>49</v>
      </c>
      <c r="K1" s="15">
        <v>59.0</v>
      </c>
    </row>
    <row r="2" ht="22.5" customHeight="1">
      <c r="A2" s="16" t="str">
        <f>IFNA(VLOOKUP(B2,Sprites!$A$2:$B$1200,2,FALSE),"")</f>
        <v/>
      </c>
      <c r="B2" s="17" t="s">
        <v>439</v>
      </c>
      <c r="C2" s="8">
        <v>460.0</v>
      </c>
      <c r="D2" s="8" t="s">
        <v>117</v>
      </c>
      <c r="E2" s="8">
        <v>530.0</v>
      </c>
      <c r="F2" s="8">
        <v>6.0</v>
      </c>
      <c r="H2" s="8">
        <v>10.0</v>
      </c>
      <c r="I2" s="19">
        <v>1.0</v>
      </c>
      <c r="J2" s="14" t="s">
        <v>19</v>
      </c>
      <c r="K2" s="20">
        <f>SUM(C2:C1000)/K1</f>
        <v>309.2372881</v>
      </c>
    </row>
    <row r="3" ht="22.5" customHeight="1">
      <c r="A3" s="16" t="str">
        <f>IFNA(VLOOKUP(B3,Sprites!$A$2:$B$1200,2,FALSE),"")</f>
        <v/>
      </c>
      <c r="B3" s="17" t="s">
        <v>440</v>
      </c>
      <c r="C3" s="8">
        <v>400.0</v>
      </c>
      <c r="D3" s="8" t="s">
        <v>51</v>
      </c>
      <c r="E3" s="8">
        <v>500.0</v>
      </c>
      <c r="F3" s="8">
        <v>10.0</v>
      </c>
      <c r="H3" s="8">
        <v>8.0</v>
      </c>
      <c r="I3" s="19">
        <v>2.0</v>
      </c>
      <c r="J3" s="14" t="s">
        <v>20</v>
      </c>
      <c r="K3" s="20">
        <f>SUM(H2:H1000)/K1</f>
        <v>4.711864407</v>
      </c>
    </row>
    <row r="4" ht="22.5" customHeight="1">
      <c r="A4" s="16" t="str">
        <f>IFNA(VLOOKUP(B4,Sprites!$A$2:$B$1200,2,FALSE),"")</f>
        <v/>
      </c>
      <c r="B4" s="17" t="s">
        <v>441</v>
      </c>
      <c r="C4" s="8">
        <v>410.0</v>
      </c>
      <c r="D4" s="8" t="s">
        <v>113</v>
      </c>
      <c r="E4" s="8">
        <v>510.0</v>
      </c>
      <c r="F4" s="8">
        <v>9.0</v>
      </c>
      <c r="H4" s="8">
        <v>8.0</v>
      </c>
      <c r="I4" s="19">
        <v>3.0</v>
      </c>
      <c r="J4" s="14" t="s">
        <v>56</v>
      </c>
      <c r="K4" s="21">
        <f>COUNTIF(D2:D1000, "Roguestone")</f>
        <v>5</v>
      </c>
    </row>
    <row r="5" ht="22.5" customHeight="1">
      <c r="A5" s="16" t="str">
        <f>IFNA(VLOOKUP(B5,Sprites!$A$2:$B$1200,2,FALSE),"")</f>
        <v/>
      </c>
      <c r="B5" s="17" t="s">
        <v>442</v>
      </c>
      <c r="C5" s="8">
        <v>310.0</v>
      </c>
      <c r="D5" s="8" t="s">
        <v>219</v>
      </c>
      <c r="E5" s="8">
        <v>410.0</v>
      </c>
      <c r="F5" s="8">
        <v>3.0</v>
      </c>
      <c r="H5" s="8">
        <v>8.0</v>
      </c>
      <c r="I5" s="19">
        <v>4.0</v>
      </c>
      <c r="J5" s="14" t="s">
        <v>58</v>
      </c>
      <c r="K5" s="22">
        <f>K4/K1</f>
        <v>0.08474576271</v>
      </c>
    </row>
    <row r="6" ht="22.5" customHeight="1">
      <c r="A6" s="16" t="str">
        <f>IFNA(VLOOKUP(B6,Sprites!$A$2:$B$1200,2,FALSE),"")</f>
        <v/>
      </c>
      <c r="B6" s="17" t="s">
        <v>443</v>
      </c>
      <c r="C6" s="8">
        <v>314.0</v>
      </c>
      <c r="D6" s="8" t="s">
        <v>219</v>
      </c>
      <c r="E6" s="8">
        <v>405.0</v>
      </c>
      <c r="F6" s="8">
        <v>3.0</v>
      </c>
      <c r="H6" s="8">
        <v>8.0</v>
      </c>
      <c r="I6" s="19">
        <v>5.0</v>
      </c>
    </row>
    <row r="7" ht="22.5" customHeight="1">
      <c r="A7" s="16" t="str">
        <f>IFNA(VLOOKUP(B7,Sprites!$A$2:$B$1200,2,FALSE),"")</f>
        <v/>
      </c>
      <c r="B7" s="17" t="s">
        <v>444</v>
      </c>
      <c r="C7" s="8">
        <v>310.0</v>
      </c>
      <c r="D7" s="8" t="s">
        <v>219</v>
      </c>
      <c r="E7" s="8">
        <v>405.0</v>
      </c>
      <c r="F7" s="8">
        <v>3.0</v>
      </c>
      <c r="H7" s="8">
        <v>8.0</v>
      </c>
      <c r="I7" s="19">
        <v>6.0</v>
      </c>
    </row>
    <row r="8" ht="22.5" customHeight="1">
      <c r="A8" s="16" t="str">
        <f>IFNA(VLOOKUP(B8,Sprites!$A$2:$B$1200,2,FALSE),"")</f>
        <v/>
      </c>
      <c r="B8" s="17" t="s">
        <v>445</v>
      </c>
      <c r="C8" s="8">
        <v>314.0</v>
      </c>
      <c r="D8" s="8" t="s">
        <v>219</v>
      </c>
      <c r="E8" s="8">
        <v>405.0</v>
      </c>
      <c r="F8" s="8">
        <v>2.0</v>
      </c>
      <c r="H8" s="8">
        <v>8.0</v>
      </c>
      <c r="I8" s="19">
        <v>7.0</v>
      </c>
    </row>
    <row r="9" ht="22.5" customHeight="1">
      <c r="A9" s="16" t="str">
        <f>IFNA(VLOOKUP(B9,Sprites!$A$2:$B$1200,2,FALSE),"")</f>
        <v/>
      </c>
      <c r="B9" s="17" t="s">
        <v>446</v>
      </c>
      <c r="C9" s="8">
        <v>314.0</v>
      </c>
      <c r="D9" s="8" t="s">
        <v>219</v>
      </c>
      <c r="E9" s="8">
        <v>405.0</v>
      </c>
      <c r="F9" s="8">
        <v>2.0</v>
      </c>
      <c r="H9" s="8">
        <v>8.0</v>
      </c>
      <c r="I9" s="19">
        <v>8.0</v>
      </c>
    </row>
    <row r="10" ht="22.5" customHeight="1">
      <c r="A10" s="16" t="str">
        <f>IFNA(VLOOKUP(B10,Sprites!$A$2:$B$1200,2,FALSE),"")</f>
        <v/>
      </c>
      <c r="B10" s="17" t="s">
        <v>447</v>
      </c>
      <c r="C10" s="8">
        <v>308.0</v>
      </c>
      <c r="D10" s="8" t="s">
        <v>221</v>
      </c>
      <c r="E10" s="8">
        <v>413.0</v>
      </c>
      <c r="F10" s="8">
        <v>3.0</v>
      </c>
      <c r="H10" s="8">
        <v>8.0</v>
      </c>
      <c r="I10" s="19">
        <v>9.0</v>
      </c>
    </row>
    <row r="11" ht="22.5" customHeight="1">
      <c r="A11" s="16" t="str">
        <f>IFNA(VLOOKUP(B11,Sprites!$A$2:$B$1200,2,FALSE),"")</f>
        <v/>
      </c>
      <c r="B11" s="17" t="s">
        <v>448</v>
      </c>
      <c r="C11" s="8">
        <v>320.0</v>
      </c>
      <c r="D11" s="8" t="s">
        <v>221</v>
      </c>
      <c r="E11" s="8">
        <v>420.0</v>
      </c>
      <c r="F11" s="8">
        <v>3.0</v>
      </c>
      <c r="H11" s="8">
        <v>8.0</v>
      </c>
      <c r="I11" s="19">
        <v>10.0</v>
      </c>
    </row>
    <row r="12" ht="22.5" customHeight="1">
      <c r="A12" s="16" t="str">
        <f>IFNA(VLOOKUP(B12,Sprites!$A$2:$B$1200,2,FALSE),"")</f>
        <v/>
      </c>
      <c r="B12" s="17" t="s">
        <v>449</v>
      </c>
      <c r="C12" s="8">
        <v>314.0</v>
      </c>
      <c r="D12" s="8" t="s">
        <v>61</v>
      </c>
      <c r="E12" s="8">
        <v>405.0</v>
      </c>
      <c r="F12" s="8">
        <v>2.0</v>
      </c>
      <c r="H12" s="8">
        <v>8.0</v>
      </c>
      <c r="I12" s="19">
        <v>11.0</v>
      </c>
    </row>
    <row r="13" ht="22.5" customHeight="1">
      <c r="A13" s="16" t="str">
        <f>IFNA(VLOOKUP(B13,Sprites!$A$2:$B$1200,2,FALSE),"")</f>
        <v/>
      </c>
      <c r="B13" s="17" t="s">
        <v>450</v>
      </c>
      <c r="C13" s="8">
        <v>310.0</v>
      </c>
      <c r="D13" s="8" t="s">
        <v>219</v>
      </c>
      <c r="E13" s="8">
        <v>420.0</v>
      </c>
      <c r="F13" s="8">
        <v>1.0</v>
      </c>
      <c r="H13" s="8">
        <v>8.0</v>
      </c>
      <c r="I13" s="19">
        <v>12.0</v>
      </c>
    </row>
    <row r="14" ht="22.5" customHeight="1">
      <c r="A14" s="16" t="str">
        <f>IFNA(VLOOKUP(B14,Sprites!$A$2:$B$1200,2,FALSE),"")</f>
        <v/>
      </c>
      <c r="B14" s="17" t="s">
        <v>451</v>
      </c>
      <c r="C14" s="8">
        <v>341.0</v>
      </c>
      <c r="D14" s="8" t="s">
        <v>69</v>
      </c>
      <c r="E14" s="8">
        <v>520.0</v>
      </c>
      <c r="F14" s="8">
        <v>8.0</v>
      </c>
      <c r="H14" s="8">
        <v>7.0</v>
      </c>
      <c r="I14" s="19">
        <v>13.0</v>
      </c>
    </row>
    <row r="15" ht="22.5" customHeight="1">
      <c r="A15" s="16" t="str">
        <f>IFNA(VLOOKUP(B15,Sprites!$A$2:$B$1200,2,FALSE),"")</f>
        <v/>
      </c>
      <c r="B15" s="17" t="s">
        <v>452</v>
      </c>
      <c r="C15" s="8">
        <v>305.0</v>
      </c>
      <c r="D15" s="8" t="s">
        <v>69</v>
      </c>
      <c r="E15" s="8">
        <v>525.0</v>
      </c>
      <c r="F15" s="8">
        <v>6.0</v>
      </c>
      <c r="H15" s="8">
        <v>7.0</v>
      </c>
      <c r="I15" s="19">
        <v>14.0</v>
      </c>
    </row>
    <row r="16" ht="22.5" customHeight="1">
      <c r="A16" s="16" t="str">
        <f>IFNA(VLOOKUP(B16,Sprites!$A$2:$B$1200,2,FALSE),"")</f>
        <v/>
      </c>
      <c r="B16" s="17" t="s">
        <v>399</v>
      </c>
      <c r="C16" s="8">
        <v>315.0</v>
      </c>
      <c r="D16" s="8" t="s">
        <v>453</v>
      </c>
      <c r="E16" s="8">
        <v>490.0</v>
      </c>
      <c r="F16" s="8">
        <v>11.0</v>
      </c>
      <c r="G16" s="8" t="s">
        <v>34</v>
      </c>
      <c r="H16" s="8">
        <v>7.0</v>
      </c>
      <c r="I16" s="19">
        <v>15.0</v>
      </c>
    </row>
    <row r="17" ht="22.5" customHeight="1">
      <c r="A17" s="16" t="str">
        <f>IFNA(VLOOKUP(B17,Sprites!$A$2:$B$1200,2,FALSE),"")</f>
        <v/>
      </c>
      <c r="B17" s="17" t="s">
        <v>385</v>
      </c>
      <c r="C17" s="8">
        <v>335.0</v>
      </c>
      <c r="D17" s="8" t="s">
        <v>90</v>
      </c>
      <c r="E17" s="8">
        <v>515.0</v>
      </c>
      <c r="F17" s="8">
        <v>5.0</v>
      </c>
      <c r="G17" s="8" t="s">
        <v>28</v>
      </c>
      <c r="H17" s="8">
        <v>7.0</v>
      </c>
      <c r="I17" s="19">
        <v>16.0</v>
      </c>
    </row>
    <row r="18" ht="22.5" customHeight="1">
      <c r="A18" s="16" t="str">
        <f>IFNA(VLOOKUP(B18,Sprites!$A$2:$B$1200,2,FALSE),"")</f>
        <v/>
      </c>
      <c r="B18" s="17" t="s">
        <v>454</v>
      </c>
      <c r="C18" s="8">
        <v>320.0</v>
      </c>
      <c r="D18" s="8" t="s">
        <v>53</v>
      </c>
      <c r="E18" s="8">
        <v>500.0</v>
      </c>
      <c r="F18" s="8">
        <v>8.0</v>
      </c>
      <c r="H18" s="8">
        <v>7.0</v>
      </c>
      <c r="I18" s="19">
        <v>17.0</v>
      </c>
    </row>
    <row r="19" ht="22.5" customHeight="1">
      <c r="A19" s="16" t="str">
        <f>IFNA(VLOOKUP(B19,Sprites!$A$2:$B$1200,2,FALSE),"")</f>
        <v/>
      </c>
      <c r="B19" s="17" t="s">
        <v>424</v>
      </c>
      <c r="C19" s="8">
        <v>355.0</v>
      </c>
      <c r="D19" s="8" t="s">
        <v>208</v>
      </c>
      <c r="E19" s="8">
        <v>495.0</v>
      </c>
      <c r="F19" s="8">
        <v>10.0</v>
      </c>
      <c r="G19" s="8" t="s">
        <v>24</v>
      </c>
      <c r="H19" s="8">
        <v>6.0</v>
      </c>
      <c r="I19" s="19">
        <v>18.0</v>
      </c>
    </row>
    <row r="20" ht="22.5" customHeight="1">
      <c r="A20" s="16" t="str">
        <f>IFNA(VLOOKUP(B20,Sprites!$A$2:$B$1200,2,FALSE),"")</f>
        <v/>
      </c>
      <c r="B20" s="17" t="s">
        <v>455</v>
      </c>
      <c r="C20" s="8">
        <v>330.0</v>
      </c>
      <c r="D20" s="8" t="s">
        <v>168</v>
      </c>
      <c r="E20" s="8">
        <v>495.0</v>
      </c>
      <c r="F20" s="8">
        <v>5.0</v>
      </c>
      <c r="H20" s="8">
        <v>6.0</v>
      </c>
      <c r="I20" s="19">
        <v>19.0</v>
      </c>
    </row>
    <row r="21" ht="22.5" customHeight="1">
      <c r="A21" s="16" t="str">
        <f>IFNA(VLOOKUP(B21,Sprites!$A$2:$B$1200,2,FALSE),"")</f>
        <v/>
      </c>
      <c r="B21" s="17" t="s">
        <v>425</v>
      </c>
      <c r="C21" s="8">
        <v>355.0</v>
      </c>
      <c r="D21" s="8" t="s">
        <v>51</v>
      </c>
      <c r="E21" s="8">
        <v>495.0</v>
      </c>
      <c r="F21" s="8">
        <v>6.0</v>
      </c>
      <c r="G21" s="8" t="s">
        <v>24</v>
      </c>
      <c r="H21" s="8">
        <v>6.0</v>
      </c>
      <c r="I21" s="19">
        <v>20.0</v>
      </c>
    </row>
    <row r="22" ht="22.5" customHeight="1">
      <c r="A22" s="16" t="str">
        <f>IFNA(VLOOKUP(B22,Sprites!$A$2:$B$1200,2,FALSE),"")</f>
        <v/>
      </c>
      <c r="B22" s="17" t="s">
        <v>426</v>
      </c>
      <c r="C22" s="8">
        <v>355.0</v>
      </c>
      <c r="D22" s="8" t="s">
        <v>51</v>
      </c>
      <c r="E22" s="8">
        <v>495.0</v>
      </c>
      <c r="F22" s="8">
        <v>6.0</v>
      </c>
      <c r="G22" s="8" t="s">
        <v>24</v>
      </c>
      <c r="H22" s="8">
        <v>6.0</v>
      </c>
      <c r="I22" s="19">
        <v>21.0</v>
      </c>
    </row>
    <row r="23" ht="22.5" customHeight="1">
      <c r="A23" s="16" t="str">
        <f>IFNA(VLOOKUP(B23,Sprites!$A$2:$B$1200,2,FALSE),"")</f>
        <v/>
      </c>
      <c r="B23" s="17" t="s">
        <v>456</v>
      </c>
      <c r="C23" s="8">
        <v>330.0</v>
      </c>
      <c r="D23" s="8" t="s">
        <v>208</v>
      </c>
      <c r="E23" s="8">
        <v>500.0</v>
      </c>
      <c r="F23" s="8">
        <v>6.0</v>
      </c>
      <c r="H23" s="8">
        <v>6.0</v>
      </c>
      <c r="I23" s="19">
        <v>22.0</v>
      </c>
    </row>
    <row r="24" ht="22.5" customHeight="1">
      <c r="A24" s="16" t="str">
        <f>IFNA(VLOOKUP(B24,Sprites!$A$2:$B$1200,2,FALSE),"")</f>
        <v/>
      </c>
      <c r="B24" s="17" t="s">
        <v>391</v>
      </c>
      <c r="C24" s="8">
        <v>320.0</v>
      </c>
      <c r="D24" s="8" t="s">
        <v>75</v>
      </c>
      <c r="E24" s="8">
        <v>494.0</v>
      </c>
      <c r="F24" s="8">
        <v>5.0</v>
      </c>
      <c r="G24" s="8" t="s">
        <v>28</v>
      </c>
      <c r="H24" s="8">
        <v>6.0</v>
      </c>
      <c r="I24" s="19">
        <v>23.0</v>
      </c>
    </row>
    <row r="25" ht="22.5" customHeight="1">
      <c r="A25" s="16" t="str">
        <f>IFNA(VLOOKUP(B25,Sprites!$A$2:$B$1200,2,FALSE),"")</f>
        <v/>
      </c>
      <c r="B25" s="17" t="s">
        <v>244</v>
      </c>
      <c r="C25" s="8">
        <v>345.0</v>
      </c>
      <c r="D25" s="8" t="s">
        <v>117</v>
      </c>
      <c r="E25" s="8">
        <v>485.0</v>
      </c>
      <c r="F25" s="8">
        <v>6.0</v>
      </c>
      <c r="G25" s="8" t="s">
        <v>32</v>
      </c>
      <c r="H25" s="8">
        <v>6.0</v>
      </c>
      <c r="I25" s="19">
        <v>24.0</v>
      </c>
    </row>
    <row r="26" ht="22.5" customHeight="1">
      <c r="A26" s="16" t="str">
        <f>IFNA(VLOOKUP(B26,Sprites!$A$2:$B$1200,2,FALSE),"")</f>
        <v/>
      </c>
      <c r="B26" s="17" t="s">
        <v>429</v>
      </c>
      <c r="C26" s="8">
        <v>306.0</v>
      </c>
      <c r="D26" s="8" t="s">
        <v>131</v>
      </c>
      <c r="E26" s="8">
        <v>500.0</v>
      </c>
      <c r="F26" s="8">
        <v>6.0</v>
      </c>
      <c r="G26" s="8" t="s">
        <v>24</v>
      </c>
      <c r="H26" s="8">
        <v>5.0</v>
      </c>
      <c r="I26" s="19">
        <v>25.0</v>
      </c>
    </row>
    <row r="27" ht="22.5" customHeight="1">
      <c r="A27" s="16" t="str">
        <f>IFNA(VLOOKUP(B27,Sprites!$A$2:$B$1200,2,FALSE),"")</f>
        <v/>
      </c>
      <c r="B27" s="17" t="s">
        <v>457</v>
      </c>
      <c r="C27" s="8">
        <v>316.0</v>
      </c>
      <c r="D27" s="8" t="s">
        <v>69</v>
      </c>
      <c r="E27" s="8">
        <v>498.0</v>
      </c>
      <c r="F27" s="8">
        <v>9.0</v>
      </c>
      <c r="H27" s="8">
        <v>5.0</v>
      </c>
      <c r="I27" s="19">
        <v>26.0</v>
      </c>
    </row>
    <row r="28" ht="22.5" customHeight="1">
      <c r="A28" s="16" t="str">
        <f>IFNA(VLOOKUP(B28,Sprites!$A$2:$B$1200,2,FALSE),"")</f>
        <v/>
      </c>
      <c r="B28" s="17" t="s">
        <v>394</v>
      </c>
      <c r="C28" s="8">
        <v>305.0</v>
      </c>
      <c r="D28" s="8" t="s">
        <v>120</v>
      </c>
      <c r="E28" s="8">
        <v>495.0</v>
      </c>
      <c r="F28" s="8">
        <v>6.0</v>
      </c>
      <c r="G28" s="8" t="s">
        <v>28</v>
      </c>
      <c r="H28" s="8">
        <v>5.0</v>
      </c>
      <c r="I28" s="19">
        <v>27.0</v>
      </c>
    </row>
    <row r="29" ht="22.5" customHeight="1">
      <c r="A29" s="16" t="str">
        <f>IFNA(VLOOKUP(B29,Sprites!$A$2:$B$1200,2,FALSE),"")</f>
        <v/>
      </c>
      <c r="B29" s="17" t="s">
        <v>458</v>
      </c>
      <c r="C29" s="8">
        <v>330.0</v>
      </c>
      <c r="D29" s="8" t="s">
        <v>113</v>
      </c>
      <c r="E29" s="8">
        <v>430.0</v>
      </c>
      <c r="F29" s="8">
        <v>10.0</v>
      </c>
      <c r="H29" s="8">
        <v>5.0</v>
      </c>
      <c r="I29" s="19">
        <v>28.0</v>
      </c>
    </row>
    <row r="30" ht="22.5" customHeight="1">
      <c r="A30" s="16" t="str">
        <f>IFNA(VLOOKUP(B30,Sprites!$A$2:$B$1200,2,FALSE),"")</f>
        <v/>
      </c>
      <c r="B30" s="19" t="s">
        <v>459</v>
      </c>
      <c r="C30" s="51">
        <v>325.0</v>
      </c>
      <c r="D30" s="51" t="s">
        <v>55</v>
      </c>
      <c r="E30" s="51">
        <v>475.0</v>
      </c>
      <c r="F30" s="51">
        <v>4.0</v>
      </c>
      <c r="G30" s="52"/>
      <c r="H30" s="51">
        <v>5.0</v>
      </c>
      <c r="I30" s="19">
        <v>29.0</v>
      </c>
    </row>
    <row r="31" ht="22.5" customHeight="1">
      <c r="A31" s="16" t="str">
        <f>IFNA(VLOOKUP(B31,Sprites!$A$2:$B$1200,2,FALSE),"")</f>
        <v/>
      </c>
      <c r="B31" s="17" t="s">
        <v>460</v>
      </c>
      <c r="C31" s="8">
        <v>325.0</v>
      </c>
      <c r="D31" s="8" t="s">
        <v>90</v>
      </c>
      <c r="E31" s="8">
        <v>475.0</v>
      </c>
      <c r="F31" s="8">
        <v>4.0</v>
      </c>
      <c r="H31" s="8">
        <v>5.0</v>
      </c>
      <c r="I31" s="19">
        <v>30.0</v>
      </c>
    </row>
    <row r="32" ht="22.5" customHeight="1">
      <c r="A32" s="16" t="str">
        <f>IFNA(VLOOKUP(B32,Sprites!$A$2:$B$1200,2,FALSE),"")</f>
        <v/>
      </c>
      <c r="B32" s="17" t="s">
        <v>431</v>
      </c>
      <c r="C32" s="8">
        <v>410.0</v>
      </c>
      <c r="D32" s="8" t="s">
        <v>113</v>
      </c>
      <c r="E32" s="8">
        <v>510.0</v>
      </c>
      <c r="F32" s="8">
        <v>9.0</v>
      </c>
      <c r="G32" s="8" t="s">
        <v>24</v>
      </c>
      <c r="H32" s="8">
        <v>4.0</v>
      </c>
      <c r="I32" s="19">
        <v>31.0</v>
      </c>
    </row>
    <row r="33" ht="22.5" customHeight="1">
      <c r="A33" s="16" t="str">
        <f>IFNA(VLOOKUP(B33,Sprites!$A$2:$B$1200,2,FALSE),"")</f>
        <v/>
      </c>
      <c r="B33" s="17" t="s">
        <v>461</v>
      </c>
      <c r="C33" s="8">
        <v>325.0</v>
      </c>
      <c r="D33" s="8" t="s">
        <v>75</v>
      </c>
      <c r="E33" s="8">
        <v>475.0</v>
      </c>
      <c r="F33" s="8">
        <v>8.0</v>
      </c>
      <c r="H33" s="8">
        <v>4.0</v>
      </c>
      <c r="I33" s="19">
        <v>32.0</v>
      </c>
      <c r="N33" s="15" t="s">
        <v>462</v>
      </c>
    </row>
    <row r="34" ht="22.5" customHeight="1">
      <c r="A34" s="16" t="str">
        <f>IFNA(VLOOKUP(B34,Sprites!$A$2:$B$1200,2,FALSE),"")</f>
        <v/>
      </c>
      <c r="B34" s="17" t="s">
        <v>463</v>
      </c>
      <c r="C34" s="8">
        <v>300.0</v>
      </c>
      <c r="D34" s="8" t="s">
        <v>77</v>
      </c>
      <c r="E34" s="8">
        <v>480.0</v>
      </c>
      <c r="F34" s="8">
        <v>4.0</v>
      </c>
      <c r="H34" s="8">
        <v>4.0</v>
      </c>
      <c r="I34" s="19">
        <v>33.0</v>
      </c>
    </row>
    <row r="35" ht="22.5" customHeight="1">
      <c r="A35" s="16" t="str">
        <f>IFNA(VLOOKUP(B35,Sprites!$A$2:$B$1200,2,FALSE),"")</f>
        <v/>
      </c>
      <c r="B35" s="17" t="s">
        <v>464</v>
      </c>
      <c r="C35" s="8">
        <v>300.0</v>
      </c>
      <c r="D35" s="8" t="s">
        <v>77</v>
      </c>
      <c r="E35" s="8">
        <v>385.0</v>
      </c>
      <c r="F35" s="8">
        <v>3.0</v>
      </c>
      <c r="H35" s="8">
        <v>4.0</v>
      </c>
      <c r="I35" s="19">
        <v>34.0</v>
      </c>
    </row>
    <row r="36" ht="22.5" customHeight="1">
      <c r="A36" s="16" t="str">
        <f>IFNA(VLOOKUP(B36,Sprites!$A$2:$B$1200,2,FALSE),"")</f>
        <v/>
      </c>
      <c r="B36" s="17" t="s">
        <v>273</v>
      </c>
      <c r="C36" s="8">
        <v>335.0</v>
      </c>
      <c r="D36" s="8" t="s">
        <v>51</v>
      </c>
      <c r="E36" s="8">
        <v>480.0</v>
      </c>
      <c r="F36" s="8">
        <v>7.0</v>
      </c>
      <c r="G36" s="8" t="s">
        <v>29</v>
      </c>
      <c r="H36" s="8">
        <v>4.0</v>
      </c>
      <c r="I36" s="19">
        <v>35.0</v>
      </c>
    </row>
    <row r="37" ht="22.5" customHeight="1">
      <c r="A37" s="16" t="str">
        <f>IFNA(VLOOKUP(B37,Sprites!$A$2:$B$1200,2,FALSE),"")</f>
        <v/>
      </c>
      <c r="B37" s="17" t="s">
        <v>129</v>
      </c>
      <c r="C37" s="8">
        <v>305.0</v>
      </c>
      <c r="D37" s="8" t="s">
        <v>90</v>
      </c>
      <c r="E37" s="8">
        <v>460.0</v>
      </c>
      <c r="F37" s="8">
        <v>5.0</v>
      </c>
      <c r="G37" s="8" t="s">
        <v>25</v>
      </c>
      <c r="H37" s="8">
        <v>4.0</v>
      </c>
      <c r="I37" s="19">
        <v>36.0</v>
      </c>
    </row>
    <row r="38" ht="22.5" customHeight="1">
      <c r="A38" s="16" t="str">
        <f>IFNA(VLOOKUP(B38,Sprites!$A$2:$B$1200,2,FALSE),"")</f>
        <v/>
      </c>
      <c r="B38" s="17" t="s">
        <v>259</v>
      </c>
      <c r="C38" s="8">
        <v>305.0</v>
      </c>
      <c r="D38" s="8" t="s">
        <v>117</v>
      </c>
      <c r="E38" s="8">
        <v>473.0</v>
      </c>
      <c r="F38" s="8">
        <v>9.0</v>
      </c>
      <c r="G38" s="8" t="s">
        <v>32</v>
      </c>
      <c r="H38" s="8">
        <v>3.0</v>
      </c>
      <c r="I38" s="19">
        <v>37.0</v>
      </c>
    </row>
    <row r="39" ht="22.5" customHeight="1">
      <c r="A39" s="16" t="str">
        <f>IFNA(VLOOKUP(B39,Sprites!$A$2:$B$1200,2,FALSE),"")</f>
        <v/>
      </c>
      <c r="B39" s="17" t="s">
        <v>465</v>
      </c>
      <c r="C39" s="8">
        <v>330.0</v>
      </c>
      <c r="D39" s="8" t="s">
        <v>80</v>
      </c>
      <c r="E39" s="8">
        <v>460.0</v>
      </c>
      <c r="F39" s="8">
        <v>5.0</v>
      </c>
      <c r="H39" s="8">
        <v>3.0</v>
      </c>
      <c r="I39" s="19">
        <v>38.0</v>
      </c>
    </row>
    <row r="40" ht="22.5" customHeight="1">
      <c r="A40" s="16" t="str">
        <f>IFNA(VLOOKUP(B40,Sprites!$A$2:$B$1200,2,FALSE),"")</f>
        <v/>
      </c>
      <c r="B40" s="17" t="s">
        <v>466</v>
      </c>
      <c r="C40" s="8">
        <v>308.0</v>
      </c>
      <c r="D40" s="8" t="s">
        <v>90</v>
      </c>
      <c r="E40" s="8">
        <v>468.0</v>
      </c>
      <c r="F40" s="8">
        <v>5.0</v>
      </c>
      <c r="H40" s="8">
        <v>3.0</v>
      </c>
      <c r="I40" s="19">
        <v>39.0</v>
      </c>
    </row>
    <row r="41" ht="22.5" customHeight="1">
      <c r="A41" s="16" t="str">
        <f>IFNA(VLOOKUP(B41,Sprites!$A$2:$B$1200,2,FALSE),"")</f>
        <v/>
      </c>
      <c r="B41" s="17" t="s">
        <v>467</v>
      </c>
      <c r="C41" s="8">
        <v>320.0</v>
      </c>
      <c r="D41" s="8" t="s">
        <v>53</v>
      </c>
      <c r="E41" s="8">
        <v>450.0</v>
      </c>
      <c r="F41" s="8">
        <v>5.0</v>
      </c>
      <c r="H41" s="8">
        <v>3.0</v>
      </c>
      <c r="I41" s="19">
        <v>40.0</v>
      </c>
    </row>
    <row r="42" ht="22.5" customHeight="1">
      <c r="A42" s="16" t="str">
        <f>IFNA(VLOOKUP(B42,Sprites!$A$2:$B$1200,2,FALSE),"")</f>
        <v/>
      </c>
      <c r="B42" s="17" t="s">
        <v>172</v>
      </c>
      <c r="C42" s="8">
        <v>330.0</v>
      </c>
      <c r="D42" s="8" t="s">
        <v>162</v>
      </c>
      <c r="E42" s="8">
        <v>460.0</v>
      </c>
      <c r="F42" s="8">
        <v>4.0</v>
      </c>
      <c r="G42" s="8" t="s">
        <v>31</v>
      </c>
      <c r="H42" s="8">
        <v>3.0</v>
      </c>
      <c r="I42" s="19">
        <v>41.0</v>
      </c>
    </row>
    <row r="43" ht="22.5" customHeight="1">
      <c r="A43" s="16" t="str">
        <f>IFNA(VLOOKUP(B43,Sprites!$A$2:$B$1200,2,FALSE),"")</f>
        <v/>
      </c>
      <c r="B43" s="17" t="s">
        <v>468</v>
      </c>
      <c r="C43" s="8">
        <v>200.0</v>
      </c>
      <c r="D43" s="8" t="s">
        <v>65</v>
      </c>
      <c r="E43" s="8">
        <v>540.0</v>
      </c>
      <c r="F43" s="8">
        <v>1.0</v>
      </c>
      <c r="H43" s="8">
        <v>3.0</v>
      </c>
      <c r="I43" s="19">
        <v>42.0</v>
      </c>
    </row>
    <row r="44" ht="22.5" customHeight="1">
      <c r="A44" s="16" t="str">
        <f>IFNA(VLOOKUP(B44,Sprites!$A$2:$B$1200,2,FALSE),"")</f>
        <v/>
      </c>
      <c r="B44" s="17" t="s">
        <v>469</v>
      </c>
      <c r="C44" s="8">
        <v>280.0</v>
      </c>
      <c r="D44" s="8" t="s">
        <v>168</v>
      </c>
      <c r="E44" s="8">
        <v>490.0</v>
      </c>
      <c r="F44" s="8">
        <v>3.0</v>
      </c>
      <c r="H44" s="8">
        <v>3.0</v>
      </c>
      <c r="I44" s="19">
        <v>43.0</v>
      </c>
    </row>
    <row r="45" ht="22.5" customHeight="1">
      <c r="A45" s="16" t="str">
        <f>IFNA(VLOOKUP(B45,Sprites!$A$2:$B$1200,2,FALSE),"")</f>
        <v/>
      </c>
      <c r="B45" s="17" t="s">
        <v>470</v>
      </c>
      <c r="C45" s="8">
        <v>284.0</v>
      </c>
      <c r="D45" s="8" t="s">
        <v>73</v>
      </c>
      <c r="E45" s="8">
        <v>485.0</v>
      </c>
      <c r="F45" s="8">
        <v>2.0</v>
      </c>
      <c r="H45" s="8">
        <v>3.0</v>
      </c>
      <c r="I45" s="19">
        <v>44.0</v>
      </c>
    </row>
    <row r="46" ht="22.5" customHeight="1">
      <c r="A46" s="16" t="str">
        <f>IFNA(VLOOKUP(B46,Sprites!$A$2:$B$1200,2,FALSE),"")</f>
        <v/>
      </c>
      <c r="B46" s="17" t="s">
        <v>471</v>
      </c>
      <c r="C46" s="8">
        <v>345.0</v>
      </c>
      <c r="D46" s="8" t="s">
        <v>69</v>
      </c>
      <c r="E46" s="8">
        <v>485.0</v>
      </c>
      <c r="F46" s="8">
        <v>0.0</v>
      </c>
      <c r="H46" s="8">
        <v>2.0</v>
      </c>
      <c r="I46" s="19">
        <v>45.0</v>
      </c>
    </row>
    <row r="47" ht="22.5" customHeight="1">
      <c r="A47" s="16" t="str">
        <f>IFNA(VLOOKUP(B47,Sprites!$A$2:$B$1200,2,FALSE),"")</f>
        <v/>
      </c>
      <c r="B47" s="17" t="s">
        <v>310</v>
      </c>
      <c r="C47" s="8">
        <v>220.0</v>
      </c>
      <c r="D47" s="8" t="s">
        <v>217</v>
      </c>
      <c r="E47" s="8">
        <v>340.0</v>
      </c>
      <c r="F47" s="8">
        <v>2.0</v>
      </c>
      <c r="G47" s="8" t="s">
        <v>27</v>
      </c>
      <c r="H47" s="8">
        <v>2.0</v>
      </c>
      <c r="I47" s="19">
        <v>46.0</v>
      </c>
    </row>
    <row r="48" ht="22.5" customHeight="1">
      <c r="A48" s="16" t="str">
        <f>IFNA(VLOOKUP(B48,Sprites!$A$2:$B$1200,2,FALSE),"")</f>
        <v/>
      </c>
      <c r="B48" s="17" t="s">
        <v>343</v>
      </c>
      <c r="C48" s="8">
        <v>291.0</v>
      </c>
      <c r="D48" s="8" t="s">
        <v>131</v>
      </c>
      <c r="E48" s="8">
        <v>410.0</v>
      </c>
      <c r="F48" s="8">
        <v>5.0</v>
      </c>
      <c r="G48" s="8" t="s">
        <v>35</v>
      </c>
      <c r="H48" s="8">
        <v>2.0</v>
      </c>
      <c r="I48" s="19">
        <v>47.0</v>
      </c>
    </row>
    <row r="49" ht="22.5" customHeight="1">
      <c r="A49" s="16" t="str">
        <f>IFNA(VLOOKUP(B49,Sprites!$A$2:$B$1200,2,FALSE),"")</f>
        <v/>
      </c>
      <c r="B49" s="17" t="s">
        <v>472</v>
      </c>
      <c r="C49" s="8">
        <v>315.0</v>
      </c>
      <c r="D49" s="8" t="s">
        <v>120</v>
      </c>
      <c r="E49" s="8">
        <v>457.0</v>
      </c>
      <c r="F49" s="8">
        <v>7.0</v>
      </c>
      <c r="H49" s="8">
        <v>2.0</v>
      </c>
      <c r="I49" s="19">
        <v>48.0</v>
      </c>
    </row>
    <row r="50" ht="22.5" customHeight="1">
      <c r="A50" s="16" t="str">
        <f>IFNA(VLOOKUP(B50,Sprites!$A$2:$B$1200,2,FALSE),"")</f>
        <v/>
      </c>
      <c r="B50" s="17" t="s">
        <v>261</v>
      </c>
      <c r="C50" s="8">
        <v>270.0</v>
      </c>
      <c r="D50" s="8" t="s">
        <v>77</v>
      </c>
      <c r="E50" s="8">
        <v>440.0</v>
      </c>
      <c r="F50" s="8">
        <v>3.0</v>
      </c>
      <c r="G50" s="8" t="s">
        <v>32</v>
      </c>
      <c r="H50" s="8">
        <v>2.0</v>
      </c>
      <c r="I50" s="19">
        <v>49.0</v>
      </c>
    </row>
    <row r="51" ht="22.5" customHeight="1">
      <c r="A51" s="16" t="str">
        <f>IFNA(VLOOKUP(B51,Sprites!$A$2:$B$1200,2,FALSE),"")</f>
        <v/>
      </c>
      <c r="B51" s="17" t="s">
        <v>473</v>
      </c>
      <c r="C51" s="8">
        <v>295.0</v>
      </c>
      <c r="D51" s="8" t="s">
        <v>131</v>
      </c>
      <c r="E51" s="8">
        <v>440.0</v>
      </c>
      <c r="F51" s="8">
        <v>5.0</v>
      </c>
      <c r="H51" s="8">
        <v>2.0</v>
      </c>
      <c r="I51" s="19">
        <v>50.0</v>
      </c>
    </row>
    <row r="52" ht="22.5" customHeight="1">
      <c r="A52" s="16" t="str">
        <f>IFNA(VLOOKUP(B52,Sprites!$A$2:$B$1200,2,FALSE),"")</f>
        <v/>
      </c>
      <c r="B52" s="17" t="s">
        <v>334</v>
      </c>
      <c r="C52" s="8">
        <v>288.0</v>
      </c>
      <c r="D52" s="8" t="s">
        <v>90</v>
      </c>
      <c r="E52" s="8">
        <v>468.0</v>
      </c>
      <c r="F52" s="8">
        <v>3.0</v>
      </c>
      <c r="G52" s="8" t="s">
        <v>38</v>
      </c>
      <c r="H52" s="8">
        <v>2.0</v>
      </c>
      <c r="I52" s="19">
        <v>51.0</v>
      </c>
    </row>
    <row r="53" ht="22.5" customHeight="1">
      <c r="A53" s="16" t="str">
        <f>IFNA(VLOOKUP(B53,Sprites!$A$2:$B$1200,2,FALSE),"")</f>
        <v/>
      </c>
      <c r="B53" s="17" t="s">
        <v>474</v>
      </c>
      <c r="C53" s="8">
        <v>294.0</v>
      </c>
      <c r="D53" s="8" t="s">
        <v>77</v>
      </c>
      <c r="E53" s="8">
        <v>384.0</v>
      </c>
      <c r="F53" s="8">
        <v>4.0</v>
      </c>
      <c r="H53" s="8">
        <v>2.0</v>
      </c>
      <c r="I53" s="19">
        <v>52.0</v>
      </c>
    </row>
    <row r="54" ht="22.5" customHeight="1">
      <c r="A54" s="16" t="str">
        <f>IFNA(VLOOKUP(B54,Sprites!$A$2:$B$1200,2,FALSE),"")</f>
        <v/>
      </c>
      <c r="B54" s="17" t="s">
        <v>89</v>
      </c>
      <c r="C54" s="8">
        <v>230.0</v>
      </c>
      <c r="D54" s="8" t="s">
        <v>90</v>
      </c>
      <c r="E54" s="8">
        <v>530.0</v>
      </c>
      <c r="F54" s="8">
        <v>0.0</v>
      </c>
      <c r="G54" s="8" t="s">
        <v>39</v>
      </c>
      <c r="H54" s="8">
        <v>2.0</v>
      </c>
      <c r="I54" s="19">
        <v>53.0</v>
      </c>
    </row>
    <row r="55" ht="22.5" customHeight="1">
      <c r="A55" s="16" t="str">
        <f>IFNA(VLOOKUP(B55,Sprites!$A$2:$B$1200,2,FALSE),"")</f>
        <v/>
      </c>
      <c r="B55" s="17" t="s">
        <v>475</v>
      </c>
      <c r="C55" s="8">
        <v>245.0</v>
      </c>
      <c r="D55" s="8" t="s">
        <v>168</v>
      </c>
      <c r="E55" s="8">
        <v>425.0</v>
      </c>
      <c r="F55" s="8">
        <v>4.0</v>
      </c>
      <c r="H55" s="8">
        <v>2.0</v>
      </c>
      <c r="I55" s="19">
        <v>54.0</v>
      </c>
    </row>
    <row r="56" ht="22.5" customHeight="1">
      <c r="A56" s="16" t="str">
        <f>IFNA(VLOOKUP(B56,Sprites!$A$2:$B$1200,2,FALSE),"")</f>
        <v/>
      </c>
      <c r="B56" s="17" t="s">
        <v>476</v>
      </c>
      <c r="C56" s="8">
        <v>200.0</v>
      </c>
      <c r="D56" s="8" t="s">
        <v>69</v>
      </c>
      <c r="E56" s="8">
        <v>540.0</v>
      </c>
      <c r="F56" s="8">
        <v>2.0</v>
      </c>
      <c r="H56" s="8">
        <v>1.0</v>
      </c>
      <c r="I56" s="19">
        <v>55.0</v>
      </c>
    </row>
    <row r="57" ht="22.5" customHeight="1">
      <c r="A57" s="16" t="str">
        <f>IFNA(VLOOKUP(B57,Sprites!$A$2:$B$1200,2,FALSE),"")</f>
        <v/>
      </c>
      <c r="B57" s="17" t="s">
        <v>100</v>
      </c>
      <c r="C57" s="8">
        <v>269.0</v>
      </c>
      <c r="D57" s="8" t="s">
        <v>73</v>
      </c>
      <c r="E57" s="8">
        <v>454.0</v>
      </c>
      <c r="F57" s="8">
        <v>3.0</v>
      </c>
      <c r="G57" s="8" t="s">
        <v>39</v>
      </c>
      <c r="H57" s="8">
        <v>1.0</v>
      </c>
      <c r="I57" s="19">
        <v>56.0</v>
      </c>
    </row>
    <row r="58" ht="22.5" customHeight="1">
      <c r="A58" s="16" t="str">
        <f>IFNA(VLOOKUP(B58,Sprites!$A$2:$B$1200,2,FALSE),"")</f>
        <v/>
      </c>
      <c r="B58" s="17" t="s">
        <v>335</v>
      </c>
      <c r="C58" s="8">
        <v>210.0</v>
      </c>
      <c r="D58" s="8" t="s">
        <v>65</v>
      </c>
      <c r="E58" s="8">
        <v>430.0</v>
      </c>
      <c r="F58" s="8">
        <v>3.0</v>
      </c>
      <c r="G58" s="8" t="s">
        <v>38</v>
      </c>
      <c r="H58" s="8">
        <v>1.0</v>
      </c>
      <c r="I58" s="19">
        <v>57.0</v>
      </c>
    </row>
    <row r="59" ht="22.5" customHeight="1">
      <c r="A59" s="16" t="str">
        <f>IFNA(VLOOKUP(B59,Sprites!$A$2:$B$1200,2,FALSE),"")</f>
        <v/>
      </c>
      <c r="B59" s="17" t="s">
        <v>101</v>
      </c>
      <c r="C59" s="8">
        <v>269.0</v>
      </c>
      <c r="D59" s="8" t="s">
        <v>73</v>
      </c>
      <c r="E59" s="8">
        <v>454.0</v>
      </c>
      <c r="F59" s="8">
        <v>4.0</v>
      </c>
      <c r="G59" s="8" t="s">
        <v>39</v>
      </c>
      <c r="H59" s="8">
        <v>1.0</v>
      </c>
      <c r="I59" s="19">
        <v>58.0</v>
      </c>
    </row>
    <row r="60" ht="22.5" customHeight="1">
      <c r="A60" s="16" t="str">
        <f>IFNA(VLOOKUP(B60,Sprites!$A$2:$B$1200,2,FALSE),"")</f>
        <v/>
      </c>
      <c r="B60" s="17" t="s">
        <v>477</v>
      </c>
      <c r="C60" s="8">
        <v>175.0</v>
      </c>
      <c r="D60" s="8" t="s">
        <v>113</v>
      </c>
      <c r="E60" s="8">
        <v>275.0</v>
      </c>
      <c r="F60" s="8">
        <v>4.0</v>
      </c>
      <c r="H60" s="8">
        <v>1.0</v>
      </c>
      <c r="I60" s="19">
        <v>59.0</v>
      </c>
    </row>
    <row r="62">
      <c r="A62" s="26"/>
      <c r="B62" s="27"/>
      <c r="I62" s="27"/>
    </row>
    <row r="63">
      <c r="A63" s="26"/>
      <c r="B63" s="27"/>
      <c r="I63" s="27"/>
    </row>
    <row r="64">
      <c r="A64" s="26"/>
      <c r="B64" s="27"/>
      <c r="I64" s="27"/>
    </row>
    <row r="65">
      <c r="A65" s="26"/>
      <c r="B65" s="27"/>
      <c r="I65" s="27"/>
    </row>
    <row r="66">
      <c r="A66" s="26"/>
      <c r="B66" s="27"/>
      <c r="I66" s="27"/>
    </row>
    <row r="67">
      <c r="A67" s="26"/>
      <c r="B67" s="27"/>
      <c r="I67" s="27"/>
    </row>
    <row r="68">
      <c r="A68" s="26"/>
      <c r="B68" s="27"/>
      <c r="I68" s="27"/>
    </row>
    <row r="69">
      <c r="A69" s="26"/>
      <c r="B69" s="27"/>
      <c r="I69" s="27"/>
    </row>
    <row r="70">
      <c r="A70" s="26"/>
      <c r="B70" s="27"/>
      <c r="I70" s="27"/>
    </row>
    <row r="71">
      <c r="A71" s="26"/>
      <c r="B71" s="27"/>
      <c r="I71" s="27"/>
    </row>
    <row r="72">
      <c r="A72" s="26"/>
      <c r="B72" s="27"/>
      <c r="I72" s="27"/>
    </row>
    <row r="73">
      <c r="A73" s="26"/>
      <c r="B73" s="27"/>
      <c r="I73" s="27"/>
    </row>
    <row r="74">
      <c r="A74" s="26"/>
      <c r="B74" s="27"/>
      <c r="I74" s="27"/>
    </row>
    <row r="75">
      <c r="A75" s="26"/>
      <c r="B75" s="27"/>
      <c r="I75" s="27"/>
    </row>
    <row r="76">
      <c r="A76" s="26"/>
      <c r="B76" s="27"/>
      <c r="I76" s="27"/>
    </row>
    <row r="77">
      <c r="A77" s="26"/>
      <c r="B77" s="27"/>
      <c r="I77" s="27"/>
    </row>
    <row r="78">
      <c r="A78" s="26"/>
      <c r="B78" s="27"/>
      <c r="I78" s="27"/>
    </row>
    <row r="79">
      <c r="A79" s="26"/>
      <c r="B79" s="27"/>
      <c r="I79" s="27"/>
    </row>
    <row r="80">
      <c r="A80" s="26"/>
      <c r="B80" s="27"/>
      <c r="I80" s="27"/>
    </row>
    <row r="81">
      <c r="A81" s="26"/>
      <c r="B81" s="27"/>
      <c r="I81" s="27"/>
    </row>
    <row r="82">
      <c r="A82" s="26"/>
      <c r="B82" s="27"/>
      <c r="I82" s="27"/>
    </row>
    <row r="83">
      <c r="A83" s="26"/>
      <c r="B83" s="27"/>
      <c r="I83" s="27"/>
    </row>
    <row r="84">
      <c r="A84" s="26"/>
      <c r="B84" s="27"/>
      <c r="I84" s="27"/>
    </row>
    <row r="85">
      <c r="A85" s="26"/>
      <c r="B85" s="27"/>
      <c r="I85" s="27"/>
    </row>
    <row r="86">
      <c r="A86" s="26"/>
      <c r="B86" s="27"/>
      <c r="I86" s="27"/>
    </row>
    <row r="87">
      <c r="A87" s="26"/>
      <c r="B87" s="27"/>
      <c r="I87" s="27"/>
    </row>
    <row r="88">
      <c r="A88" s="26"/>
      <c r="B88" s="27"/>
      <c r="I88" s="27"/>
    </row>
    <row r="89">
      <c r="A89" s="26"/>
      <c r="B89" s="27"/>
      <c r="I89" s="27"/>
    </row>
    <row r="90">
      <c r="A90" s="26"/>
      <c r="B90" s="27"/>
      <c r="I90" s="27"/>
    </row>
    <row r="91">
      <c r="A91" s="26"/>
      <c r="B91" s="27"/>
      <c r="I91" s="27"/>
    </row>
    <row r="92">
      <c r="A92" s="26"/>
      <c r="B92" s="27"/>
      <c r="I92" s="27"/>
    </row>
    <row r="93">
      <c r="A93" s="26"/>
      <c r="B93" s="27"/>
      <c r="I93" s="27"/>
    </row>
    <row r="94">
      <c r="A94" s="26"/>
      <c r="B94" s="27"/>
      <c r="I94" s="27"/>
    </row>
    <row r="95">
      <c r="A95" s="26"/>
      <c r="B95" s="27"/>
      <c r="I95" s="27"/>
    </row>
    <row r="96">
      <c r="A96" s="26"/>
      <c r="B96" s="27"/>
      <c r="I96" s="27"/>
    </row>
    <row r="97">
      <c r="A97" s="26"/>
      <c r="B97" s="27"/>
      <c r="I97" s="27"/>
    </row>
    <row r="98">
      <c r="A98" s="26"/>
      <c r="B98" s="27"/>
      <c r="I98" s="27"/>
    </row>
    <row r="99">
      <c r="A99" s="26"/>
      <c r="B99" s="27"/>
      <c r="I99" s="27"/>
    </row>
    <row r="100">
      <c r="A100" s="26"/>
      <c r="B100" s="27"/>
      <c r="I100" s="27"/>
    </row>
    <row r="101">
      <c r="A101" s="26"/>
      <c r="B101" s="27"/>
      <c r="I101" s="27"/>
    </row>
    <row r="102">
      <c r="A102" s="26"/>
      <c r="B102" s="27"/>
      <c r="I102" s="27"/>
    </row>
    <row r="103">
      <c r="A103" s="26"/>
      <c r="B103" s="27"/>
      <c r="I103" s="27"/>
    </row>
    <row r="104">
      <c r="A104" s="26"/>
      <c r="B104" s="27"/>
      <c r="I104" s="27"/>
    </row>
    <row r="105">
      <c r="A105" s="26"/>
      <c r="B105" s="27"/>
      <c r="I105" s="27"/>
    </row>
    <row r="106">
      <c r="A106" s="26"/>
      <c r="B106" s="27"/>
      <c r="I106" s="27"/>
    </row>
    <row r="107">
      <c r="A107" s="26"/>
      <c r="B107" s="27"/>
      <c r="I107" s="27"/>
    </row>
    <row r="108">
      <c r="A108" s="26"/>
      <c r="B108" s="27"/>
      <c r="I108" s="27"/>
    </row>
    <row r="109">
      <c r="A109" s="26"/>
      <c r="B109" s="27"/>
      <c r="I109" s="27"/>
    </row>
    <row r="110">
      <c r="A110" s="26"/>
      <c r="B110" s="27"/>
      <c r="I110" s="27"/>
    </row>
    <row r="111">
      <c r="A111" s="26"/>
      <c r="B111" s="27"/>
      <c r="I111" s="27"/>
    </row>
    <row r="112">
      <c r="A112" s="26"/>
      <c r="B112" s="27"/>
      <c r="I112" s="27"/>
    </row>
    <row r="113">
      <c r="A113" s="26"/>
      <c r="B113" s="27"/>
      <c r="I113" s="27"/>
    </row>
    <row r="114">
      <c r="A114" s="26"/>
      <c r="B114" s="27"/>
      <c r="I114" s="27"/>
    </row>
    <row r="115">
      <c r="A115" s="26"/>
      <c r="B115" s="27"/>
      <c r="I115" s="27"/>
    </row>
    <row r="116">
      <c r="A116" s="26"/>
      <c r="B116" s="27"/>
      <c r="I116" s="27"/>
    </row>
    <row r="117">
      <c r="A117" s="26"/>
      <c r="B117" s="27"/>
      <c r="I117" s="27"/>
    </row>
    <row r="118">
      <c r="A118" s="26"/>
      <c r="B118" s="27"/>
      <c r="I118" s="27"/>
    </row>
    <row r="119">
      <c r="A119" s="26"/>
      <c r="B119" s="27"/>
      <c r="I119" s="27"/>
    </row>
    <row r="120">
      <c r="A120" s="26"/>
      <c r="B120" s="27"/>
      <c r="I120" s="27"/>
    </row>
    <row r="121">
      <c r="A121" s="26"/>
      <c r="B121" s="27"/>
      <c r="I121" s="27"/>
    </row>
    <row r="122">
      <c r="A122" s="26"/>
      <c r="B122" s="27"/>
      <c r="I122" s="27"/>
    </row>
    <row r="123">
      <c r="A123" s="26"/>
      <c r="B123" s="27"/>
      <c r="I123" s="27"/>
    </row>
    <row r="124">
      <c r="A124" s="26"/>
      <c r="B124" s="27"/>
      <c r="I124" s="27"/>
    </row>
    <row r="125">
      <c r="A125" s="26"/>
      <c r="B125" s="27"/>
      <c r="I125" s="27"/>
    </row>
    <row r="126">
      <c r="A126" s="26"/>
      <c r="B126" s="27"/>
      <c r="I126" s="27"/>
    </row>
    <row r="127">
      <c r="A127" s="26"/>
      <c r="B127" s="27"/>
      <c r="I127" s="27"/>
    </row>
    <row r="128">
      <c r="A128" s="26"/>
      <c r="B128" s="27"/>
      <c r="I128" s="27"/>
    </row>
    <row r="129">
      <c r="A129" s="26"/>
      <c r="B129" s="27"/>
      <c r="I129" s="27"/>
    </row>
    <row r="130">
      <c r="A130" s="26"/>
      <c r="B130" s="27"/>
      <c r="I130" s="27"/>
    </row>
    <row r="131">
      <c r="A131" s="26"/>
      <c r="B131" s="27"/>
      <c r="I131" s="27"/>
    </row>
    <row r="132">
      <c r="A132" s="26"/>
      <c r="B132" s="27"/>
      <c r="I132" s="27"/>
    </row>
    <row r="133">
      <c r="A133" s="26"/>
      <c r="B133" s="27"/>
      <c r="I133" s="27"/>
    </row>
    <row r="134">
      <c r="A134" s="26"/>
      <c r="B134" s="27"/>
      <c r="I134" s="27"/>
    </row>
    <row r="135">
      <c r="A135" s="26"/>
      <c r="B135" s="27"/>
      <c r="I135" s="27"/>
    </row>
    <row r="136">
      <c r="A136" s="26"/>
      <c r="B136" s="27"/>
      <c r="I136" s="27"/>
    </row>
    <row r="137">
      <c r="A137" s="26"/>
      <c r="B137" s="27"/>
      <c r="I137" s="27"/>
    </row>
    <row r="138">
      <c r="A138" s="26"/>
      <c r="B138" s="27"/>
      <c r="I138" s="27"/>
    </row>
    <row r="139">
      <c r="A139" s="26"/>
      <c r="B139" s="27"/>
      <c r="I139" s="27"/>
    </row>
    <row r="140">
      <c r="A140" s="26"/>
      <c r="B140" s="27"/>
      <c r="I140" s="27"/>
    </row>
    <row r="141">
      <c r="A141" s="26"/>
      <c r="B141" s="27"/>
      <c r="I141" s="27"/>
    </row>
    <row r="142">
      <c r="A142" s="26"/>
      <c r="B142" s="27"/>
      <c r="I142" s="27"/>
    </row>
    <row r="143">
      <c r="A143" s="26"/>
      <c r="B143" s="27"/>
      <c r="I143" s="27"/>
    </row>
    <row r="144">
      <c r="A144" s="26"/>
      <c r="B144" s="27"/>
      <c r="I144" s="27"/>
    </row>
    <row r="145">
      <c r="A145" s="26"/>
      <c r="B145" s="27"/>
      <c r="I145" s="27"/>
    </row>
    <row r="146">
      <c r="A146" s="26"/>
      <c r="B146" s="27"/>
      <c r="I146" s="27"/>
    </row>
    <row r="147">
      <c r="A147" s="26"/>
      <c r="B147" s="27"/>
      <c r="I147" s="27"/>
    </row>
    <row r="148">
      <c r="A148" s="26"/>
      <c r="B148" s="27"/>
      <c r="I148" s="27"/>
    </row>
    <row r="149">
      <c r="A149" s="26"/>
      <c r="B149" s="27"/>
      <c r="I149" s="27"/>
    </row>
    <row r="150">
      <c r="A150" s="26"/>
      <c r="B150" s="27"/>
      <c r="I150" s="27"/>
    </row>
    <row r="151">
      <c r="A151" s="26"/>
      <c r="B151" s="27"/>
      <c r="I151" s="27"/>
    </row>
    <row r="152">
      <c r="A152" s="26"/>
      <c r="B152" s="27"/>
      <c r="I152" s="27"/>
    </row>
    <row r="153">
      <c r="A153" s="26"/>
      <c r="B153" s="27"/>
      <c r="I153" s="27"/>
    </row>
    <row r="154">
      <c r="A154" s="26"/>
      <c r="B154" s="27"/>
      <c r="I154" s="27"/>
    </row>
    <row r="155">
      <c r="A155" s="26"/>
      <c r="B155" s="27"/>
      <c r="I155" s="27"/>
    </row>
    <row r="156">
      <c r="A156" s="26"/>
      <c r="B156" s="27"/>
      <c r="I156" s="27"/>
    </row>
    <row r="157">
      <c r="A157" s="26"/>
      <c r="B157" s="27"/>
      <c r="I157" s="27"/>
    </row>
    <row r="158">
      <c r="A158" s="26"/>
      <c r="B158" s="27"/>
      <c r="I158" s="27"/>
    </row>
    <row r="159">
      <c r="A159" s="26"/>
      <c r="B159" s="27"/>
      <c r="I159" s="27"/>
    </row>
    <row r="160">
      <c r="A160" s="26"/>
      <c r="B160" s="27"/>
      <c r="I160" s="27"/>
    </row>
    <row r="161">
      <c r="A161" s="26"/>
      <c r="B161" s="27"/>
      <c r="I161" s="27"/>
    </row>
    <row r="162">
      <c r="A162" s="26"/>
      <c r="B162" s="27"/>
      <c r="I162" s="27"/>
    </row>
    <row r="163">
      <c r="A163" s="26"/>
      <c r="B163" s="27"/>
      <c r="I163" s="27"/>
    </row>
    <row r="164">
      <c r="A164" s="26"/>
      <c r="B164" s="27"/>
      <c r="I164" s="27"/>
    </row>
    <row r="165">
      <c r="A165" s="26"/>
      <c r="B165" s="27"/>
      <c r="I165" s="27"/>
    </row>
    <row r="166">
      <c r="A166" s="26"/>
      <c r="B166" s="27"/>
      <c r="I166" s="27"/>
    </row>
    <row r="167">
      <c r="A167" s="26"/>
      <c r="B167" s="27"/>
      <c r="I167" s="27"/>
    </row>
    <row r="168">
      <c r="A168" s="26"/>
      <c r="B168" s="27"/>
      <c r="I168" s="27"/>
    </row>
    <row r="169">
      <c r="A169" s="26"/>
      <c r="B169" s="27"/>
      <c r="I169" s="27"/>
    </row>
    <row r="170">
      <c r="A170" s="26"/>
      <c r="B170" s="27"/>
      <c r="I170" s="27"/>
    </row>
    <row r="171">
      <c r="A171" s="26"/>
      <c r="B171" s="27"/>
      <c r="I171" s="27"/>
    </row>
    <row r="172">
      <c r="A172" s="26"/>
      <c r="B172" s="27"/>
      <c r="I172" s="27"/>
    </row>
    <row r="173">
      <c r="A173" s="26"/>
      <c r="B173" s="27"/>
      <c r="I173" s="27"/>
    </row>
    <row r="174">
      <c r="A174" s="26"/>
      <c r="B174" s="27"/>
      <c r="I174" s="27"/>
    </row>
    <row r="175">
      <c r="A175" s="26"/>
      <c r="B175" s="27"/>
      <c r="I175" s="27"/>
    </row>
    <row r="176">
      <c r="A176" s="26"/>
      <c r="B176" s="27"/>
      <c r="I176" s="27"/>
    </row>
    <row r="177">
      <c r="A177" s="26"/>
      <c r="B177" s="27"/>
      <c r="I177" s="27"/>
    </row>
    <row r="178">
      <c r="A178" s="26"/>
      <c r="B178" s="27"/>
      <c r="I178" s="27"/>
    </row>
    <row r="179">
      <c r="A179" s="26"/>
      <c r="B179" s="27"/>
      <c r="I179" s="27"/>
    </row>
    <row r="180">
      <c r="A180" s="26"/>
      <c r="B180" s="27"/>
      <c r="I180" s="27"/>
    </row>
    <row r="181">
      <c r="A181" s="26"/>
      <c r="B181" s="27"/>
      <c r="I181" s="27"/>
    </row>
    <row r="182">
      <c r="A182" s="26"/>
      <c r="B182" s="27"/>
      <c r="I182" s="27"/>
    </row>
    <row r="183">
      <c r="A183" s="26"/>
      <c r="B183" s="27"/>
      <c r="I183" s="27"/>
    </row>
    <row r="184">
      <c r="A184" s="26"/>
      <c r="B184" s="27"/>
      <c r="I184" s="27"/>
    </row>
    <row r="185">
      <c r="A185" s="26"/>
      <c r="B185" s="27"/>
      <c r="I185" s="27"/>
    </row>
    <row r="186">
      <c r="A186" s="26"/>
      <c r="B186" s="27"/>
      <c r="I186" s="27"/>
    </row>
    <row r="187">
      <c r="A187" s="26"/>
      <c r="B187" s="27"/>
      <c r="I187" s="27"/>
    </row>
    <row r="188">
      <c r="A188" s="26"/>
      <c r="B188" s="27"/>
      <c r="I188" s="27"/>
    </row>
    <row r="189">
      <c r="A189" s="26"/>
      <c r="B189" s="27"/>
      <c r="I189" s="27"/>
    </row>
    <row r="190">
      <c r="A190" s="26"/>
      <c r="B190" s="27"/>
      <c r="I190" s="27"/>
    </row>
    <row r="191">
      <c r="A191" s="26"/>
      <c r="B191" s="27"/>
      <c r="I191" s="27"/>
    </row>
    <row r="192">
      <c r="A192" s="26"/>
      <c r="B192" s="27"/>
      <c r="I192" s="27"/>
    </row>
    <row r="193">
      <c r="A193" s="26"/>
      <c r="B193" s="27"/>
      <c r="I193" s="27"/>
    </row>
    <row r="194">
      <c r="A194" s="26"/>
      <c r="B194" s="27"/>
      <c r="I194" s="27"/>
    </row>
    <row r="195">
      <c r="A195" s="26"/>
      <c r="B195" s="27"/>
      <c r="I195" s="27"/>
    </row>
    <row r="196">
      <c r="A196" s="26"/>
      <c r="B196" s="27"/>
      <c r="I196" s="27"/>
    </row>
    <row r="197">
      <c r="A197" s="26"/>
      <c r="B197" s="27"/>
      <c r="I197" s="27"/>
    </row>
    <row r="198">
      <c r="A198" s="26"/>
      <c r="B198" s="27"/>
      <c r="I198" s="27"/>
    </row>
    <row r="199">
      <c r="A199" s="26"/>
      <c r="B199" s="27"/>
      <c r="I199" s="27"/>
    </row>
    <row r="200">
      <c r="A200" s="26"/>
      <c r="B200" s="27"/>
      <c r="I200" s="27"/>
    </row>
    <row r="201">
      <c r="A201" s="26"/>
      <c r="B201" s="27"/>
      <c r="I201" s="27"/>
    </row>
    <row r="202">
      <c r="A202" s="26"/>
      <c r="B202" s="27"/>
      <c r="I202" s="27"/>
    </row>
    <row r="203">
      <c r="A203" s="26"/>
      <c r="B203" s="27"/>
      <c r="I203" s="27"/>
    </row>
    <row r="204">
      <c r="A204" s="26"/>
      <c r="B204" s="27"/>
      <c r="I204" s="27"/>
    </row>
    <row r="205">
      <c r="A205" s="26"/>
      <c r="B205" s="27"/>
      <c r="I205" s="27"/>
    </row>
    <row r="206">
      <c r="A206" s="26"/>
      <c r="B206" s="27"/>
      <c r="I206" s="27"/>
    </row>
    <row r="207">
      <c r="A207" s="26"/>
      <c r="B207" s="27"/>
      <c r="I207" s="27"/>
    </row>
    <row r="208">
      <c r="A208" s="26"/>
      <c r="B208" s="27"/>
      <c r="I208" s="27"/>
    </row>
    <row r="209">
      <c r="A209" s="26"/>
      <c r="B209" s="27"/>
      <c r="I209" s="27"/>
    </row>
    <row r="210">
      <c r="A210" s="26"/>
      <c r="B210" s="27"/>
      <c r="I210" s="27"/>
    </row>
    <row r="211">
      <c r="A211" s="26"/>
      <c r="B211" s="27"/>
      <c r="I211" s="27"/>
    </row>
    <row r="212">
      <c r="A212" s="26"/>
      <c r="B212" s="27"/>
      <c r="I212" s="27"/>
    </row>
    <row r="213">
      <c r="A213" s="26"/>
      <c r="B213" s="27"/>
      <c r="I213" s="27"/>
    </row>
    <row r="214">
      <c r="A214" s="26"/>
      <c r="B214" s="27"/>
      <c r="I214" s="27"/>
    </row>
    <row r="215">
      <c r="A215" s="26"/>
      <c r="B215" s="27"/>
      <c r="I215" s="27"/>
    </row>
    <row r="216">
      <c r="A216" s="26"/>
      <c r="B216" s="27"/>
      <c r="I216" s="27"/>
    </row>
    <row r="217">
      <c r="A217" s="26"/>
      <c r="B217" s="27"/>
      <c r="I217" s="27"/>
    </row>
    <row r="218">
      <c r="A218" s="26"/>
      <c r="B218" s="27"/>
      <c r="I218" s="27"/>
    </row>
    <row r="219">
      <c r="A219" s="26"/>
      <c r="B219" s="27"/>
      <c r="I219" s="27"/>
    </row>
    <row r="220">
      <c r="A220" s="26"/>
      <c r="B220" s="27"/>
      <c r="I220" s="27"/>
    </row>
    <row r="221">
      <c r="A221" s="26"/>
      <c r="B221" s="27"/>
      <c r="I221" s="27"/>
    </row>
    <row r="222">
      <c r="A222" s="26"/>
      <c r="B222" s="27"/>
      <c r="I222" s="27"/>
    </row>
    <row r="223">
      <c r="A223" s="26"/>
      <c r="B223" s="27"/>
      <c r="I223" s="27"/>
    </row>
    <row r="224">
      <c r="A224" s="26"/>
      <c r="B224" s="27"/>
      <c r="I224" s="27"/>
    </row>
    <row r="225">
      <c r="A225" s="26"/>
      <c r="B225" s="27"/>
      <c r="I225" s="27"/>
    </row>
    <row r="226">
      <c r="A226" s="26"/>
      <c r="B226" s="27"/>
      <c r="I226" s="27"/>
    </row>
    <row r="227">
      <c r="A227" s="26"/>
      <c r="B227" s="27"/>
      <c r="I227" s="27"/>
    </row>
    <row r="228">
      <c r="A228" s="26"/>
      <c r="B228" s="27"/>
      <c r="I228" s="27"/>
    </row>
    <row r="229">
      <c r="A229" s="26"/>
      <c r="B229" s="27"/>
      <c r="I229" s="27"/>
    </row>
    <row r="230">
      <c r="A230" s="26"/>
      <c r="B230" s="27"/>
      <c r="I230" s="27"/>
    </row>
    <row r="231">
      <c r="A231" s="26"/>
      <c r="B231" s="27"/>
      <c r="I231" s="27"/>
    </row>
    <row r="232">
      <c r="A232" s="26"/>
      <c r="B232" s="27"/>
      <c r="I232" s="27"/>
    </row>
    <row r="233">
      <c r="A233" s="26"/>
      <c r="B233" s="27"/>
      <c r="I233" s="27"/>
    </row>
    <row r="234">
      <c r="A234" s="26"/>
      <c r="B234" s="27"/>
      <c r="I234" s="27"/>
    </row>
    <row r="235">
      <c r="A235" s="26"/>
      <c r="B235" s="27"/>
      <c r="I235" s="27"/>
    </row>
    <row r="236">
      <c r="A236" s="26"/>
      <c r="B236" s="27"/>
      <c r="I236" s="27"/>
    </row>
    <row r="237">
      <c r="A237" s="26"/>
      <c r="B237" s="27"/>
      <c r="I237" s="27"/>
    </row>
    <row r="238">
      <c r="A238" s="26"/>
      <c r="B238" s="27"/>
      <c r="I238" s="27"/>
    </row>
    <row r="239">
      <c r="A239" s="26"/>
      <c r="B239" s="27"/>
      <c r="I239" s="27"/>
    </row>
    <row r="240">
      <c r="A240" s="26"/>
      <c r="B240" s="27"/>
      <c r="I240" s="27"/>
    </row>
    <row r="241">
      <c r="A241" s="26"/>
      <c r="B241" s="27"/>
      <c r="I241" s="27"/>
    </row>
    <row r="242">
      <c r="A242" s="26"/>
      <c r="B242" s="27"/>
      <c r="I242" s="27"/>
    </row>
    <row r="243">
      <c r="A243" s="26"/>
      <c r="B243" s="27"/>
      <c r="I243" s="27"/>
    </row>
    <row r="244">
      <c r="A244" s="26"/>
      <c r="B244" s="27"/>
      <c r="I244" s="27"/>
    </row>
    <row r="245">
      <c r="A245" s="26"/>
      <c r="B245" s="27"/>
      <c r="I245" s="27"/>
    </row>
    <row r="246">
      <c r="A246" s="26"/>
      <c r="B246" s="27"/>
      <c r="I246" s="27"/>
    </row>
    <row r="247">
      <c r="A247" s="26"/>
      <c r="B247" s="27"/>
      <c r="I247" s="27"/>
    </row>
    <row r="248">
      <c r="A248" s="26"/>
      <c r="B248" s="27"/>
      <c r="I248" s="27"/>
    </row>
    <row r="249">
      <c r="A249" s="26"/>
      <c r="B249" s="27"/>
      <c r="I249" s="27"/>
    </row>
    <row r="250">
      <c r="A250" s="26"/>
      <c r="B250" s="27"/>
      <c r="I250" s="27"/>
    </row>
    <row r="251">
      <c r="A251" s="26"/>
      <c r="B251" s="27"/>
      <c r="I251" s="27"/>
    </row>
    <row r="252">
      <c r="A252" s="26"/>
      <c r="B252" s="27"/>
      <c r="I252" s="27"/>
    </row>
    <row r="253">
      <c r="A253" s="26"/>
      <c r="B253" s="27"/>
      <c r="I253" s="27"/>
    </row>
    <row r="254">
      <c r="A254" s="26"/>
      <c r="B254" s="27"/>
      <c r="I254" s="27"/>
    </row>
    <row r="255">
      <c r="A255" s="26"/>
      <c r="B255" s="27"/>
      <c r="I255" s="27"/>
    </row>
    <row r="256">
      <c r="A256" s="26"/>
      <c r="B256" s="27"/>
      <c r="I256" s="27"/>
    </row>
    <row r="257">
      <c r="A257" s="26"/>
      <c r="B257" s="27"/>
      <c r="I257" s="27"/>
    </row>
    <row r="258">
      <c r="A258" s="26"/>
      <c r="B258" s="27"/>
      <c r="I258" s="27"/>
    </row>
    <row r="259">
      <c r="A259" s="26"/>
      <c r="B259" s="27"/>
      <c r="I259" s="27"/>
    </row>
    <row r="260">
      <c r="A260" s="26"/>
      <c r="B260" s="27"/>
      <c r="I260" s="27"/>
    </row>
    <row r="261">
      <c r="A261" s="26"/>
      <c r="B261" s="27"/>
      <c r="I261" s="27"/>
    </row>
    <row r="262">
      <c r="A262" s="26"/>
      <c r="B262" s="27"/>
      <c r="I262" s="27"/>
    </row>
    <row r="263">
      <c r="A263" s="26"/>
      <c r="B263" s="27"/>
      <c r="I263" s="27"/>
    </row>
    <row r="264">
      <c r="A264" s="26"/>
      <c r="B264" s="27"/>
      <c r="I264" s="27"/>
    </row>
    <row r="265">
      <c r="A265" s="26"/>
      <c r="B265" s="27"/>
      <c r="I265" s="27"/>
    </row>
    <row r="266">
      <c r="A266" s="26"/>
      <c r="B266" s="27"/>
      <c r="I266" s="27"/>
    </row>
    <row r="267">
      <c r="A267" s="26"/>
      <c r="B267" s="27"/>
      <c r="I267" s="27"/>
    </row>
    <row r="268">
      <c r="A268" s="26"/>
      <c r="B268" s="27"/>
      <c r="I268" s="27"/>
    </row>
    <row r="269">
      <c r="A269" s="26"/>
      <c r="B269" s="27"/>
      <c r="I269" s="27"/>
    </row>
    <row r="270">
      <c r="A270" s="26"/>
      <c r="B270" s="27"/>
      <c r="I270" s="27"/>
    </row>
    <row r="271">
      <c r="A271" s="26"/>
      <c r="B271" s="27"/>
      <c r="I271" s="27"/>
    </row>
    <row r="272">
      <c r="A272" s="26"/>
      <c r="B272" s="27"/>
      <c r="I272" s="27"/>
    </row>
    <row r="273">
      <c r="A273" s="26"/>
      <c r="B273" s="27"/>
      <c r="I273" s="27"/>
    </row>
    <row r="274">
      <c r="A274" s="26"/>
      <c r="B274" s="27"/>
      <c r="I274" s="27"/>
    </row>
    <row r="275">
      <c r="A275" s="26"/>
      <c r="B275" s="27"/>
      <c r="I275" s="27"/>
    </row>
    <row r="276">
      <c r="A276" s="26"/>
      <c r="B276" s="27"/>
      <c r="I276" s="27"/>
    </row>
    <row r="277">
      <c r="A277" s="26"/>
      <c r="B277" s="27"/>
      <c r="I277" s="27"/>
    </row>
    <row r="278">
      <c r="A278" s="26"/>
      <c r="B278" s="27"/>
      <c r="I278" s="27"/>
    </row>
    <row r="279">
      <c r="A279" s="26"/>
      <c r="B279" s="27"/>
      <c r="I279" s="27"/>
    </row>
    <row r="280">
      <c r="A280" s="26"/>
      <c r="B280" s="27"/>
      <c r="I280" s="27"/>
    </row>
    <row r="281">
      <c r="A281" s="26"/>
      <c r="B281" s="27"/>
      <c r="I281" s="27"/>
    </row>
    <row r="282">
      <c r="A282" s="26"/>
      <c r="B282" s="27"/>
      <c r="I282" s="27"/>
    </row>
    <row r="283">
      <c r="A283" s="26"/>
      <c r="B283" s="27"/>
      <c r="I283" s="27"/>
    </row>
    <row r="284">
      <c r="A284" s="26"/>
      <c r="B284" s="27"/>
      <c r="I284" s="27"/>
    </row>
    <row r="285">
      <c r="A285" s="26"/>
      <c r="B285" s="27"/>
      <c r="I285" s="27"/>
    </row>
    <row r="286">
      <c r="A286" s="26"/>
      <c r="B286" s="27"/>
      <c r="I286" s="27"/>
    </row>
    <row r="287">
      <c r="A287" s="26"/>
      <c r="B287" s="27"/>
      <c r="I287" s="27"/>
    </row>
    <row r="288">
      <c r="A288" s="26"/>
      <c r="B288" s="27"/>
      <c r="I288" s="27"/>
    </row>
    <row r="289">
      <c r="A289" s="26"/>
      <c r="B289" s="27"/>
      <c r="I289" s="27"/>
    </row>
    <row r="290">
      <c r="A290" s="26"/>
      <c r="B290" s="27"/>
      <c r="I290" s="27"/>
    </row>
    <row r="291">
      <c r="A291" s="26"/>
      <c r="B291" s="27"/>
      <c r="I291" s="27"/>
    </row>
    <row r="292">
      <c r="A292" s="26"/>
      <c r="B292" s="27"/>
      <c r="I292" s="27"/>
    </row>
    <row r="293">
      <c r="A293" s="26"/>
      <c r="B293" s="27"/>
      <c r="I293" s="27"/>
    </row>
    <row r="294">
      <c r="A294" s="26"/>
      <c r="B294" s="27"/>
      <c r="I294" s="27"/>
    </row>
    <row r="295">
      <c r="A295" s="26"/>
      <c r="B295" s="27"/>
      <c r="I295" s="27"/>
    </row>
    <row r="296">
      <c r="A296" s="26"/>
      <c r="B296" s="27"/>
      <c r="I296" s="27"/>
    </row>
    <row r="297">
      <c r="A297" s="26"/>
      <c r="B297" s="27"/>
      <c r="I297" s="27"/>
    </row>
    <row r="298">
      <c r="A298" s="26"/>
      <c r="B298" s="27"/>
      <c r="I298" s="27"/>
    </row>
    <row r="299">
      <c r="A299" s="26"/>
      <c r="B299" s="27"/>
      <c r="I299" s="27"/>
    </row>
    <row r="300">
      <c r="A300" s="26"/>
      <c r="B300" s="27"/>
      <c r="I300" s="27"/>
    </row>
    <row r="301">
      <c r="A301" s="26"/>
      <c r="B301" s="27"/>
      <c r="I301" s="27"/>
    </row>
    <row r="302">
      <c r="A302" s="26"/>
      <c r="B302" s="27"/>
      <c r="I302" s="27"/>
    </row>
    <row r="303">
      <c r="A303" s="26"/>
      <c r="B303" s="27"/>
      <c r="I303" s="27"/>
    </row>
    <row r="304">
      <c r="A304" s="26"/>
      <c r="B304" s="27"/>
      <c r="I304" s="27"/>
    </row>
    <row r="305">
      <c r="A305" s="26"/>
      <c r="B305" s="27"/>
      <c r="I305" s="27"/>
    </row>
    <row r="306">
      <c r="A306" s="26"/>
      <c r="B306" s="27"/>
      <c r="I306" s="27"/>
    </row>
    <row r="307">
      <c r="A307" s="26"/>
      <c r="B307" s="27"/>
      <c r="I307" s="27"/>
    </row>
    <row r="308">
      <c r="A308" s="26"/>
      <c r="B308" s="27"/>
      <c r="I308" s="27"/>
    </row>
    <row r="309">
      <c r="A309" s="26"/>
      <c r="B309" s="27"/>
      <c r="I309" s="27"/>
    </row>
    <row r="310">
      <c r="A310" s="26"/>
      <c r="B310" s="27"/>
      <c r="I310" s="27"/>
    </row>
    <row r="311">
      <c r="A311" s="26"/>
      <c r="B311" s="27"/>
      <c r="I311" s="27"/>
    </row>
    <row r="312">
      <c r="A312" s="26"/>
      <c r="B312" s="27"/>
      <c r="I312" s="27"/>
    </row>
    <row r="313">
      <c r="A313" s="26"/>
      <c r="B313" s="27"/>
      <c r="I313" s="27"/>
    </row>
    <row r="314">
      <c r="A314" s="26"/>
      <c r="B314" s="27"/>
      <c r="I314" s="27"/>
    </row>
    <row r="315">
      <c r="A315" s="26"/>
      <c r="B315" s="27"/>
      <c r="I315" s="27"/>
    </row>
    <row r="316">
      <c r="A316" s="26"/>
      <c r="B316" s="27"/>
      <c r="I316" s="27"/>
    </row>
    <row r="317">
      <c r="A317" s="26"/>
      <c r="B317" s="27"/>
      <c r="I317" s="27"/>
    </row>
    <row r="318">
      <c r="A318" s="26"/>
      <c r="B318" s="27"/>
      <c r="I318" s="27"/>
    </row>
    <row r="319">
      <c r="A319" s="26"/>
      <c r="B319" s="27"/>
      <c r="I319" s="27"/>
    </row>
    <row r="320">
      <c r="A320" s="26"/>
      <c r="B320" s="27"/>
      <c r="I320" s="27"/>
    </row>
    <row r="321">
      <c r="A321" s="26"/>
      <c r="B321" s="27"/>
      <c r="I321" s="27"/>
    </row>
    <row r="322">
      <c r="A322" s="26"/>
      <c r="B322" s="27"/>
      <c r="I322" s="27"/>
    </row>
    <row r="323">
      <c r="A323" s="26"/>
      <c r="B323" s="27"/>
      <c r="I323" s="27"/>
    </row>
    <row r="324">
      <c r="A324" s="26"/>
      <c r="B324" s="27"/>
      <c r="I324" s="27"/>
    </row>
    <row r="325">
      <c r="A325" s="26"/>
      <c r="B325" s="27"/>
      <c r="I325" s="27"/>
    </row>
    <row r="326">
      <c r="A326" s="26"/>
      <c r="B326" s="27"/>
      <c r="I326" s="27"/>
    </row>
    <row r="327">
      <c r="A327" s="26"/>
      <c r="B327" s="27"/>
      <c r="I327" s="27"/>
    </row>
    <row r="328">
      <c r="A328" s="26"/>
      <c r="B328" s="27"/>
      <c r="I328" s="27"/>
    </row>
    <row r="329">
      <c r="A329" s="26"/>
      <c r="B329" s="27"/>
      <c r="I329" s="27"/>
    </row>
    <row r="330">
      <c r="A330" s="26"/>
      <c r="B330" s="27"/>
      <c r="I330" s="27"/>
    </row>
    <row r="331">
      <c r="A331" s="26"/>
      <c r="B331" s="27"/>
      <c r="I331" s="27"/>
    </row>
    <row r="332">
      <c r="A332" s="26"/>
      <c r="B332" s="27"/>
      <c r="I332" s="27"/>
    </row>
    <row r="333">
      <c r="A333" s="26"/>
      <c r="B333" s="27"/>
      <c r="I333" s="27"/>
    </row>
    <row r="334">
      <c r="A334" s="26"/>
      <c r="B334" s="27"/>
      <c r="I334" s="27"/>
    </row>
    <row r="335">
      <c r="A335" s="26"/>
      <c r="B335" s="27"/>
      <c r="I335" s="27"/>
    </row>
    <row r="336">
      <c r="A336" s="26"/>
      <c r="B336" s="27"/>
      <c r="I336" s="27"/>
    </row>
    <row r="337">
      <c r="A337" s="26"/>
      <c r="B337" s="27"/>
      <c r="I337" s="27"/>
    </row>
    <row r="338">
      <c r="A338" s="26"/>
      <c r="B338" s="27"/>
      <c r="I338" s="27"/>
    </row>
    <row r="339">
      <c r="A339" s="26"/>
      <c r="B339" s="27"/>
      <c r="I339" s="27"/>
    </row>
    <row r="340">
      <c r="A340" s="26"/>
      <c r="B340" s="27"/>
      <c r="I340" s="27"/>
    </row>
    <row r="341">
      <c r="A341" s="26"/>
      <c r="B341" s="27"/>
      <c r="I341" s="27"/>
    </row>
    <row r="342">
      <c r="A342" s="26"/>
      <c r="B342" s="27"/>
      <c r="I342" s="27"/>
    </row>
    <row r="343">
      <c r="A343" s="26"/>
      <c r="B343" s="27"/>
      <c r="I343" s="27"/>
    </row>
    <row r="344">
      <c r="A344" s="26"/>
      <c r="B344" s="27"/>
      <c r="I344" s="27"/>
    </row>
    <row r="345">
      <c r="A345" s="26"/>
      <c r="B345" s="27"/>
      <c r="I345" s="27"/>
    </row>
    <row r="346">
      <c r="A346" s="26"/>
      <c r="B346" s="27"/>
      <c r="I346" s="27"/>
    </row>
    <row r="347">
      <c r="A347" s="26"/>
      <c r="B347" s="27"/>
      <c r="I347" s="27"/>
    </row>
    <row r="348">
      <c r="A348" s="26"/>
      <c r="B348" s="27"/>
      <c r="I348" s="27"/>
    </row>
    <row r="349">
      <c r="A349" s="26"/>
      <c r="B349" s="27"/>
      <c r="I349" s="27"/>
    </row>
    <row r="350">
      <c r="A350" s="26"/>
      <c r="B350" s="27"/>
      <c r="I350" s="27"/>
    </row>
    <row r="351">
      <c r="A351" s="26"/>
      <c r="B351" s="27"/>
      <c r="I351" s="27"/>
    </row>
    <row r="352">
      <c r="A352" s="26"/>
      <c r="B352" s="27"/>
      <c r="I352" s="27"/>
    </row>
    <row r="353">
      <c r="A353" s="26"/>
      <c r="B353" s="27"/>
      <c r="I353" s="27"/>
    </row>
    <row r="354">
      <c r="A354" s="26"/>
      <c r="B354" s="27"/>
      <c r="I354" s="27"/>
    </row>
    <row r="355">
      <c r="A355" s="26"/>
      <c r="B355" s="27"/>
      <c r="I355" s="27"/>
    </row>
    <row r="356">
      <c r="A356" s="26"/>
      <c r="B356" s="27"/>
      <c r="I356" s="27"/>
    </row>
    <row r="357">
      <c r="A357" s="26"/>
      <c r="B357" s="27"/>
      <c r="I357" s="27"/>
    </row>
    <row r="358">
      <c r="A358" s="26"/>
      <c r="B358" s="27"/>
      <c r="I358" s="27"/>
    </row>
    <row r="359">
      <c r="A359" s="26"/>
      <c r="B359" s="27"/>
      <c r="I359" s="27"/>
    </row>
    <row r="360">
      <c r="A360" s="26"/>
      <c r="B360" s="27"/>
      <c r="I360" s="27"/>
    </row>
    <row r="361">
      <c r="A361" s="26"/>
      <c r="B361" s="27"/>
      <c r="I361" s="27"/>
    </row>
    <row r="362">
      <c r="A362" s="26"/>
      <c r="B362" s="27"/>
      <c r="I362" s="27"/>
    </row>
    <row r="363">
      <c r="A363" s="26"/>
      <c r="B363" s="27"/>
      <c r="I363" s="27"/>
    </row>
    <row r="364">
      <c r="A364" s="26"/>
      <c r="B364" s="27"/>
      <c r="I364" s="27"/>
    </row>
    <row r="365">
      <c r="A365" s="26"/>
      <c r="B365" s="27"/>
      <c r="I365" s="27"/>
    </row>
    <row r="366">
      <c r="A366" s="26"/>
      <c r="B366" s="27"/>
      <c r="I366" s="27"/>
    </row>
    <row r="367">
      <c r="A367" s="26"/>
      <c r="B367" s="27"/>
      <c r="I367" s="27"/>
    </row>
    <row r="368">
      <c r="A368" s="26"/>
      <c r="B368" s="27"/>
      <c r="I368" s="27"/>
    </row>
    <row r="369">
      <c r="A369" s="26"/>
      <c r="B369" s="27"/>
      <c r="I369" s="27"/>
    </row>
    <row r="370">
      <c r="A370" s="26"/>
      <c r="B370" s="27"/>
      <c r="I370" s="27"/>
    </row>
    <row r="371">
      <c r="A371" s="26"/>
      <c r="B371" s="27"/>
      <c r="I371" s="27"/>
    </row>
    <row r="372">
      <c r="A372" s="26"/>
      <c r="B372" s="27"/>
      <c r="I372" s="27"/>
    </row>
    <row r="373">
      <c r="A373" s="26"/>
      <c r="B373" s="27"/>
      <c r="I373" s="27"/>
    </row>
    <row r="374">
      <c r="A374" s="26"/>
      <c r="B374" s="27"/>
      <c r="I374" s="27"/>
    </row>
    <row r="375">
      <c r="A375" s="26"/>
      <c r="B375" s="27"/>
      <c r="I375" s="27"/>
    </row>
    <row r="376">
      <c r="A376" s="26"/>
      <c r="B376" s="27"/>
      <c r="I376" s="27"/>
    </row>
    <row r="377">
      <c r="A377" s="26"/>
      <c r="B377" s="27"/>
      <c r="I377" s="27"/>
    </row>
    <row r="378">
      <c r="A378" s="26"/>
      <c r="B378" s="27"/>
      <c r="I378" s="27"/>
    </row>
    <row r="379">
      <c r="A379" s="26"/>
      <c r="B379" s="27"/>
      <c r="I379" s="27"/>
    </row>
    <row r="380">
      <c r="A380" s="26"/>
      <c r="B380" s="27"/>
      <c r="I380" s="27"/>
    </row>
    <row r="381">
      <c r="A381" s="26"/>
      <c r="B381" s="27"/>
      <c r="I381" s="27"/>
    </row>
    <row r="382">
      <c r="A382" s="26"/>
      <c r="B382" s="27"/>
      <c r="I382" s="27"/>
    </row>
    <row r="383">
      <c r="A383" s="26"/>
      <c r="B383" s="27"/>
      <c r="I383" s="27"/>
    </row>
    <row r="384">
      <c r="A384" s="26"/>
      <c r="B384" s="27"/>
      <c r="I384" s="27"/>
    </row>
    <row r="385">
      <c r="A385" s="26"/>
      <c r="B385" s="27"/>
      <c r="I385" s="27"/>
    </row>
    <row r="386">
      <c r="A386" s="26"/>
      <c r="B386" s="27"/>
      <c r="I386" s="27"/>
    </row>
    <row r="387">
      <c r="A387" s="26"/>
      <c r="B387" s="27"/>
      <c r="I387" s="27"/>
    </row>
    <row r="388">
      <c r="A388" s="26"/>
      <c r="B388" s="27"/>
      <c r="I388" s="27"/>
    </row>
    <row r="389">
      <c r="A389" s="26"/>
      <c r="B389" s="27"/>
      <c r="I389" s="27"/>
    </row>
    <row r="390">
      <c r="A390" s="26"/>
      <c r="B390" s="27"/>
      <c r="I390" s="27"/>
    </row>
    <row r="391">
      <c r="A391" s="26"/>
      <c r="B391" s="27"/>
      <c r="I391" s="27"/>
    </row>
    <row r="392">
      <c r="A392" s="26"/>
      <c r="B392" s="27"/>
      <c r="I392" s="27"/>
    </row>
    <row r="393">
      <c r="A393" s="26"/>
      <c r="B393" s="27"/>
      <c r="I393" s="27"/>
    </row>
    <row r="394">
      <c r="A394" s="26"/>
      <c r="B394" s="27"/>
      <c r="I394" s="27"/>
    </row>
    <row r="395">
      <c r="A395" s="26"/>
      <c r="B395" s="27"/>
      <c r="I395" s="27"/>
    </row>
    <row r="396">
      <c r="A396" s="26"/>
      <c r="B396" s="27"/>
      <c r="I396" s="27"/>
    </row>
    <row r="397">
      <c r="A397" s="26"/>
      <c r="B397" s="27"/>
      <c r="I397" s="27"/>
    </row>
    <row r="398">
      <c r="A398" s="26"/>
      <c r="B398" s="27"/>
      <c r="I398" s="27"/>
    </row>
    <row r="399">
      <c r="A399" s="26"/>
      <c r="B399" s="27"/>
      <c r="I399" s="27"/>
    </row>
    <row r="400">
      <c r="A400" s="26"/>
      <c r="B400" s="27"/>
      <c r="I400" s="27"/>
    </row>
    <row r="401">
      <c r="A401" s="26"/>
      <c r="B401" s="27"/>
      <c r="I401" s="27"/>
    </row>
    <row r="402">
      <c r="A402" s="26"/>
      <c r="B402" s="27"/>
      <c r="I402" s="27"/>
    </row>
    <row r="403">
      <c r="A403" s="26"/>
      <c r="B403" s="27"/>
      <c r="I403" s="27"/>
    </row>
    <row r="404">
      <c r="A404" s="26"/>
      <c r="B404" s="27"/>
      <c r="I404" s="27"/>
    </row>
    <row r="405">
      <c r="A405" s="26"/>
      <c r="B405" s="27"/>
      <c r="I405" s="27"/>
    </row>
    <row r="406">
      <c r="A406" s="26"/>
      <c r="B406" s="27"/>
      <c r="I406" s="27"/>
    </row>
    <row r="407">
      <c r="A407" s="26"/>
      <c r="B407" s="27"/>
      <c r="I407" s="27"/>
    </row>
    <row r="408">
      <c r="A408" s="26"/>
      <c r="B408" s="27"/>
      <c r="I408" s="27"/>
    </row>
    <row r="409">
      <c r="A409" s="26"/>
      <c r="B409" s="27"/>
      <c r="I409" s="27"/>
    </row>
    <row r="410">
      <c r="A410" s="26"/>
      <c r="B410" s="27"/>
      <c r="I410" s="27"/>
    </row>
    <row r="411">
      <c r="A411" s="26"/>
      <c r="B411" s="27"/>
      <c r="I411" s="27"/>
    </row>
    <row r="412">
      <c r="A412" s="26"/>
      <c r="B412" s="27"/>
      <c r="I412" s="27"/>
    </row>
    <row r="413">
      <c r="A413" s="26"/>
      <c r="B413" s="27"/>
      <c r="I413" s="27"/>
    </row>
    <row r="414">
      <c r="A414" s="26"/>
      <c r="B414" s="27"/>
      <c r="I414" s="27"/>
    </row>
    <row r="415">
      <c r="A415" s="26"/>
      <c r="B415" s="27"/>
      <c r="I415" s="27"/>
    </row>
    <row r="416">
      <c r="A416" s="26"/>
      <c r="B416" s="27"/>
      <c r="I416" s="27"/>
    </row>
    <row r="417">
      <c r="A417" s="26"/>
      <c r="B417" s="27"/>
      <c r="I417" s="27"/>
    </row>
    <row r="418">
      <c r="A418" s="26"/>
      <c r="B418" s="27"/>
      <c r="I418" s="27"/>
    </row>
    <row r="419">
      <c r="A419" s="26"/>
      <c r="B419" s="27"/>
      <c r="I419" s="27"/>
    </row>
    <row r="420">
      <c r="A420" s="26"/>
      <c r="B420" s="27"/>
      <c r="I420" s="27"/>
    </row>
    <row r="421">
      <c r="A421" s="26"/>
      <c r="B421" s="27"/>
      <c r="I421" s="27"/>
    </row>
    <row r="422">
      <c r="A422" s="26"/>
      <c r="B422" s="27"/>
      <c r="I422" s="27"/>
    </row>
    <row r="423">
      <c r="A423" s="26"/>
      <c r="B423" s="27"/>
      <c r="I423" s="27"/>
    </row>
    <row r="424">
      <c r="A424" s="26"/>
      <c r="B424" s="27"/>
      <c r="I424" s="27"/>
    </row>
    <row r="425">
      <c r="A425" s="26"/>
      <c r="B425" s="27"/>
      <c r="I425" s="27"/>
    </row>
    <row r="426">
      <c r="A426" s="26"/>
      <c r="B426" s="27"/>
      <c r="I426" s="27"/>
    </row>
    <row r="427">
      <c r="A427" s="26"/>
      <c r="B427" s="27"/>
      <c r="I427" s="27"/>
    </row>
    <row r="428">
      <c r="A428" s="26"/>
      <c r="B428" s="27"/>
      <c r="I428" s="27"/>
    </row>
    <row r="429">
      <c r="A429" s="26"/>
      <c r="B429" s="27"/>
      <c r="I429" s="27"/>
    </row>
    <row r="430">
      <c r="A430" s="26"/>
      <c r="B430" s="27"/>
      <c r="I430" s="27"/>
    </row>
    <row r="431">
      <c r="A431" s="26"/>
      <c r="B431" s="27"/>
      <c r="I431" s="27"/>
    </row>
    <row r="432">
      <c r="A432" s="26"/>
      <c r="B432" s="27"/>
      <c r="I432" s="27"/>
    </row>
    <row r="433">
      <c r="A433" s="26"/>
      <c r="B433" s="27"/>
      <c r="I433" s="27"/>
    </row>
    <row r="434">
      <c r="A434" s="26"/>
      <c r="B434" s="27"/>
      <c r="I434" s="27"/>
    </row>
    <row r="435">
      <c r="A435" s="26"/>
      <c r="B435" s="27"/>
      <c r="I435" s="27"/>
    </row>
    <row r="436">
      <c r="A436" s="26"/>
      <c r="B436" s="27"/>
      <c r="I436" s="27"/>
    </row>
    <row r="437">
      <c r="A437" s="26"/>
      <c r="B437" s="27"/>
      <c r="I437" s="27"/>
    </row>
    <row r="438">
      <c r="A438" s="26"/>
      <c r="B438" s="27"/>
      <c r="I438" s="27"/>
    </row>
    <row r="439">
      <c r="A439" s="26"/>
      <c r="B439" s="27"/>
      <c r="I439" s="27"/>
    </row>
    <row r="440">
      <c r="A440" s="26"/>
      <c r="B440" s="27"/>
      <c r="I440" s="27"/>
    </row>
    <row r="441">
      <c r="A441" s="26"/>
      <c r="B441" s="27"/>
      <c r="I441" s="27"/>
    </row>
    <row r="442">
      <c r="A442" s="26"/>
      <c r="B442" s="27"/>
      <c r="I442" s="27"/>
    </row>
    <row r="443">
      <c r="A443" s="26"/>
      <c r="B443" s="27"/>
      <c r="I443" s="27"/>
    </row>
    <row r="444">
      <c r="A444" s="26"/>
      <c r="B444" s="27"/>
      <c r="I444" s="27"/>
    </row>
    <row r="445">
      <c r="A445" s="26"/>
      <c r="B445" s="27"/>
      <c r="I445" s="27"/>
    </row>
    <row r="446">
      <c r="A446" s="26"/>
      <c r="B446" s="27"/>
      <c r="I446" s="27"/>
    </row>
    <row r="447">
      <c r="A447" s="26"/>
      <c r="B447" s="27"/>
      <c r="I447" s="27"/>
    </row>
    <row r="448">
      <c r="A448" s="26"/>
      <c r="B448" s="27"/>
      <c r="I448" s="27"/>
    </row>
    <row r="449">
      <c r="A449" s="26"/>
      <c r="B449" s="27"/>
      <c r="I449" s="27"/>
    </row>
    <row r="450">
      <c r="A450" s="26"/>
      <c r="B450" s="27"/>
      <c r="I450" s="27"/>
    </row>
    <row r="451">
      <c r="A451" s="26"/>
      <c r="B451" s="27"/>
      <c r="I451" s="27"/>
    </row>
    <row r="452">
      <c r="A452" s="26"/>
      <c r="B452" s="27"/>
      <c r="I452" s="27"/>
    </row>
    <row r="453">
      <c r="A453" s="26"/>
      <c r="B453" s="27"/>
      <c r="I453" s="27"/>
    </row>
    <row r="454">
      <c r="A454" s="26"/>
      <c r="B454" s="27"/>
      <c r="I454" s="27"/>
    </row>
    <row r="455">
      <c r="A455" s="26"/>
      <c r="B455" s="27"/>
      <c r="I455" s="27"/>
    </row>
    <row r="456">
      <c r="A456" s="26"/>
      <c r="B456" s="27"/>
      <c r="I456" s="27"/>
    </row>
    <row r="457">
      <c r="A457" s="26"/>
      <c r="B457" s="27"/>
      <c r="I457" s="27"/>
    </row>
    <row r="458">
      <c r="A458" s="26"/>
      <c r="B458" s="27"/>
      <c r="I458" s="27"/>
    </row>
    <row r="459">
      <c r="A459" s="26"/>
      <c r="B459" s="27"/>
      <c r="I459" s="27"/>
    </row>
    <row r="460">
      <c r="A460" s="26"/>
      <c r="B460" s="27"/>
      <c r="I460" s="27"/>
    </row>
    <row r="461">
      <c r="A461" s="26"/>
      <c r="B461" s="27"/>
      <c r="I461" s="27"/>
    </row>
    <row r="462">
      <c r="A462" s="26"/>
      <c r="B462" s="27"/>
      <c r="I462" s="27"/>
    </row>
    <row r="463">
      <c r="A463" s="26"/>
      <c r="B463" s="27"/>
      <c r="I463" s="27"/>
    </row>
    <row r="464">
      <c r="A464" s="26"/>
      <c r="B464" s="27"/>
      <c r="I464" s="27"/>
    </row>
    <row r="465">
      <c r="A465" s="26"/>
      <c r="B465" s="27"/>
      <c r="I465" s="27"/>
    </row>
    <row r="466">
      <c r="A466" s="26"/>
      <c r="B466" s="27"/>
      <c r="I466" s="27"/>
    </row>
    <row r="467">
      <c r="A467" s="26"/>
      <c r="B467" s="27"/>
      <c r="I467" s="27"/>
    </row>
    <row r="468">
      <c r="A468" s="26"/>
      <c r="B468" s="27"/>
      <c r="I468" s="27"/>
    </row>
    <row r="469">
      <c r="A469" s="26"/>
      <c r="B469" s="27"/>
      <c r="I469" s="27"/>
    </row>
    <row r="470">
      <c r="A470" s="26"/>
      <c r="B470" s="27"/>
      <c r="I470" s="27"/>
    </row>
    <row r="471">
      <c r="A471" s="26"/>
      <c r="B471" s="27"/>
      <c r="I471" s="27"/>
    </row>
    <row r="472">
      <c r="A472" s="26"/>
      <c r="B472" s="27"/>
      <c r="I472" s="27"/>
    </row>
    <row r="473">
      <c r="A473" s="26"/>
      <c r="B473" s="27"/>
      <c r="I473" s="27"/>
    </row>
    <row r="474">
      <c r="A474" s="26"/>
      <c r="B474" s="27"/>
      <c r="I474" s="27"/>
    </row>
    <row r="475">
      <c r="A475" s="26"/>
      <c r="B475" s="27"/>
      <c r="I475" s="27"/>
    </row>
    <row r="476">
      <c r="A476" s="26"/>
      <c r="B476" s="27"/>
      <c r="I476" s="27"/>
    </row>
    <row r="477">
      <c r="A477" s="26"/>
      <c r="B477" s="27"/>
      <c r="I477" s="27"/>
    </row>
    <row r="478">
      <c r="A478" s="26"/>
      <c r="B478" s="27"/>
      <c r="I478" s="27"/>
    </row>
    <row r="479">
      <c r="A479" s="26"/>
      <c r="B479" s="27"/>
      <c r="I479" s="27"/>
    </row>
    <row r="480">
      <c r="A480" s="26"/>
      <c r="B480" s="27"/>
      <c r="I480" s="27"/>
    </row>
    <row r="481">
      <c r="A481" s="26"/>
      <c r="B481" s="27"/>
      <c r="I481" s="27"/>
    </row>
    <row r="482">
      <c r="A482" s="26"/>
      <c r="B482" s="27"/>
      <c r="I482" s="27"/>
    </row>
    <row r="483">
      <c r="A483" s="26"/>
      <c r="B483" s="27"/>
      <c r="I483" s="27"/>
    </row>
    <row r="484">
      <c r="A484" s="26"/>
      <c r="B484" s="27"/>
      <c r="I484" s="27"/>
    </row>
    <row r="485">
      <c r="A485" s="26"/>
      <c r="B485" s="27"/>
      <c r="I485" s="27"/>
    </row>
    <row r="486">
      <c r="A486" s="26"/>
      <c r="B486" s="27"/>
      <c r="I486" s="27"/>
    </row>
    <row r="487">
      <c r="A487" s="26"/>
      <c r="B487" s="27"/>
      <c r="I487" s="27"/>
    </row>
    <row r="488">
      <c r="A488" s="26"/>
      <c r="B488" s="27"/>
      <c r="I488" s="27"/>
    </row>
    <row r="489">
      <c r="A489" s="26"/>
      <c r="B489" s="27"/>
      <c r="I489" s="27"/>
    </row>
    <row r="490">
      <c r="A490" s="26"/>
      <c r="B490" s="27"/>
      <c r="I490" s="27"/>
    </row>
    <row r="491">
      <c r="A491" s="26"/>
      <c r="B491" s="27"/>
      <c r="I491" s="27"/>
    </row>
    <row r="492">
      <c r="A492" s="26"/>
      <c r="B492" s="27"/>
      <c r="I492" s="27"/>
    </row>
    <row r="493">
      <c r="A493" s="26"/>
      <c r="B493" s="27"/>
      <c r="I493" s="27"/>
    </row>
    <row r="494">
      <c r="A494" s="26"/>
      <c r="B494" s="27"/>
      <c r="I494" s="27"/>
    </row>
    <row r="495">
      <c r="A495" s="26"/>
      <c r="B495" s="27"/>
      <c r="I495" s="27"/>
    </row>
    <row r="496">
      <c r="A496" s="26"/>
      <c r="B496" s="27"/>
      <c r="I496" s="27"/>
    </row>
    <row r="497">
      <c r="A497" s="26"/>
      <c r="B497" s="27"/>
      <c r="I497" s="27"/>
    </row>
    <row r="498">
      <c r="A498" s="26"/>
      <c r="B498" s="27"/>
      <c r="I498" s="27"/>
    </row>
    <row r="499">
      <c r="A499" s="26"/>
      <c r="B499" s="27"/>
      <c r="I499" s="27"/>
    </row>
    <row r="500">
      <c r="A500" s="26"/>
      <c r="B500" s="27"/>
      <c r="I500" s="27"/>
    </row>
    <row r="501">
      <c r="A501" s="26"/>
      <c r="B501" s="27"/>
      <c r="I501" s="27"/>
    </row>
    <row r="502">
      <c r="A502" s="26"/>
      <c r="B502" s="27"/>
      <c r="I502" s="27"/>
    </row>
    <row r="503">
      <c r="A503" s="26"/>
      <c r="B503" s="27"/>
      <c r="I503" s="27"/>
    </row>
    <row r="504">
      <c r="A504" s="26"/>
      <c r="B504" s="27"/>
      <c r="I504" s="27"/>
    </row>
    <row r="505">
      <c r="A505" s="26"/>
      <c r="B505" s="27"/>
      <c r="I505" s="27"/>
    </row>
    <row r="506">
      <c r="A506" s="26"/>
      <c r="B506" s="27"/>
      <c r="I506" s="27"/>
    </row>
    <row r="507">
      <c r="A507" s="26"/>
      <c r="B507" s="27"/>
      <c r="I507" s="27"/>
    </row>
    <row r="508">
      <c r="A508" s="26"/>
      <c r="B508" s="27"/>
      <c r="I508" s="27"/>
    </row>
    <row r="509">
      <c r="A509" s="26"/>
      <c r="B509" s="27"/>
      <c r="I509" s="27"/>
    </row>
    <row r="510">
      <c r="A510" s="26"/>
      <c r="B510" s="27"/>
      <c r="I510" s="27"/>
    </row>
    <row r="511">
      <c r="A511" s="26"/>
      <c r="B511" s="27"/>
      <c r="I511" s="27"/>
    </row>
    <row r="512">
      <c r="A512" s="26"/>
      <c r="B512" s="27"/>
      <c r="I512" s="27"/>
    </row>
    <row r="513">
      <c r="A513" s="26"/>
      <c r="B513" s="27"/>
      <c r="I513" s="27"/>
    </row>
    <row r="514">
      <c r="A514" s="26"/>
      <c r="B514" s="27"/>
      <c r="I514" s="27"/>
    </row>
    <row r="515">
      <c r="A515" s="26"/>
      <c r="B515" s="27"/>
      <c r="I515" s="27"/>
    </row>
    <row r="516">
      <c r="A516" s="26"/>
      <c r="B516" s="27"/>
      <c r="I516" s="27"/>
    </row>
    <row r="517">
      <c r="A517" s="26"/>
      <c r="B517" s="27"/>
      <c r="I517" s="27"/>
    </row>
    <row r="518">
      <c r="A518" s="26"/>
      <c r="B518" s="27"/>
      <c r="I518" s="27"/>
    </row>
    <row r="519">
      <c r="A519" s="26"/>
      <c r="B519" s="27"/>
      <c r="I519" s="27"/>
    </row>
    <row r="520">
      <c r="A520" s="26"/>
      <c r="B520" s="27"/>
      <c r="I520" s="27"/>
    </row>
    <row r="521">
      <c r="A521" s="26"/>
      <c r="B521" s="27"/>
      <c r="I521" s="27"/>
    </row>
    <row r="522">
      <c r="A522" s="26"/>
      <c r="B522" s="27"/>
      <c r="I522" s="27"/>
    </row>
    <row r="523">
      <c r="A523" s="26"/>
      <c r="B523" s="27"/>
      <c r="I523" s="27"/>
    </row>
    <row r="524">
      <c r="A524" s="26"/>
      <c r="B524" s="27"/>
      <c r="I524" s="27"/>
    </row>
    <row r="525">
      <c r="A525" s="26"/>
      <c r="B525" s="27"/>
      <c r="I525" s="27"/>
    </row>
    <row r="526">
      <c r="A526" s="26"/>
      <c r="B526" s="27"/>
      <c r="I526" s="27"/>
    </row>
    <row r="527">
      <c r="A527" s="26"/>
      <c r="B527" s="27"/>
      <c r="I527" s="27"/>
    </row>
    <row r="528">
      <c r="A528" s="26"/>
      <c r="B528" s="27"/>
      <c r="I528" s="27"/>
    </row>
    <row r="529">
      <c r="A529" s="26"/>
      <c r="B529" s="27"/>
      <c r="I529" s="27"/>
    </row>
    <row r="530">
      <c r="A530" s="26"/>
      <c r="B530" s="27"/>
      <c r="I530" s="27"/>
    </row>
    <row r="531">
      <c r="A531" s="26"/>
      <c r="B531" s="27"/>
      <c r="I531" s="27"/>
    </row>
    <row r="532">
      <c r="A532" s="26"/>
      <c r="B532" s="27"/>
      <c r="I532" s="27"/>
    </row>
    <row r="533">
      <c r="A533" s="26"/>
      <c r="B533" s="27"/>
      <c r="I533" s="27"/>
    </row>
    <row r="534">
      <c r="A534" s="26"/>
      <c r="B534" s="27"/>
      <c r="I534" s="27"/>
    </row>
    <row r="535">
      <c r="A535" s="26"/>
      <c r="B535" s="27"/>
      <c r="I535" s="27"/>
    </row>
    <row r="536">
      <c r="A536" s="26"/>
      <c r="B536" s="27"/>
      <c r="I536" s="27"/>
    </row>
    <row r="537">
      <c r="A537" s="26"/>
      <c r="B537" s="27"/>
      <c r="I537" s="27"/>
    </row>
    <row r="538">
      <c r="A538" s="26"/>
      <c r="B538" s="27"/>
      <c r="I538" s="27"/>
    </row>
    <row r="539">
      <c r="A539" s="26"/>
      <c r="B539" s="27"/>
      <c r="I539" s="27"/>
    </row>
    <row r="540">
      <c r="A540" s="26"/>
      <c r="B540" s="27"/>
      <c r="I540" s="27"/>
    </row>
    <row r="541">
      <c r="A541" s="26"/>
      <c r="B541" s="27"/>
      <c r="I541" s="27"/>
    </row>
    <row r="542">
      <c r="A542" s="26"/>
      <c r="B542" s="27"/>
      <c r="I542" s="27"/>
    </row>
    <row r="543">
      <c r="A543" s="26"/>
      <c r="B543" s="27"/>
      <c r="I543" s="27"/>
    </row>
    <row r="544">
      <c r="A544" s="26"/>
      <c r="B544" s="27"/>
      <c r="I544" s="27"/>
    </row>
    <row r="545">
      <c r="A545" s="26"/>
      <c r="B545" s="27"/>
      <c r="I545" s="27"/>
    </row>
    <row r="546">
      <c r="A546" s="26"/>
      <c r="B546" s="27"/>
      <c r="I546" s="27"/>
    </row>
    <row r="547">
      <c r="A547" s="26"/>
      <c r="B547" s="27"/>
      <c r="I547" s="27"/>
    </row>
    <row r="548">
      <c r="A548" s="26"/>
      <c r="B548" s="27"/>
      <c r="I548" s="27"/>
    </row>
    <row r="549">
      <c r="A549" s="26"/>
      <c r="B549" s="27"/>
      <c r="I549" s="27"/>
    </row>
    <row r="550">
      <c r="A550" s="26"/>
      <c r="B550" s="27"/>
      <c r="I550" s="27"/>
    </row>
    <row r="551">
      <c r="A551" s="26"/>
      <c r="B551" s="27"/>
      <c r="I551" s="27"/>
    </row>
    <row r="552">
      <c r="A552" s="26"/>
      <c r="B552" s="27"/>
      <c r="I552" s="27"/>
    </row>
    <row r="553">
      <c r="A553" s="26"/>
      <c r="B553" s="27"/>
      <c r="I553" s="27"/>
    </row>
    <row r="554">
      <c r="A554" s="26"/>
      <c r="B554" s="27"/>
      <c r="I554" s="27"/>
    </row>
    <row r="555">
      <c r="A555" s="26"/>
      <c r="B555" s="27"/>
      <c r="I555" s="27"/>
    </row>
    <row r="556">
      <c r="A556" s="26"/>
      <c r="B556" s="27"/>
      <c r="I556" s="27"/>
    </row>
    <row r="557">
      <c r="A557" s="26"/>
      <c r="B557" s="27"/>
      <c r="I557" s="27"/>
    </row>
    <row r="558">
      <c r="A558" s="26"/>
      <c r="B558" s="27"/>
      <c r="I558" s="27"/>
    </row>
    <row r="559">
      <c r="A559" s="26"/>
      <c r="B559" s="27"/>
      <c r="I559" s="27"/>
    </row>
    <row r="560">
      <c r="A560" s="26"/>
      <c r="B560" s="27"/>
      <c r="I560" s="27"/>
    </row>
    <row r="561">
      <c r="A561" s="26"/>
      <c r="B561" s="27"/>
      <c r="I561" s="27"/>
    </row>
    <row r="562">
      <c r="A562" s="26"/>
      <c r="B562" s="27"/>
      <c r="I562" s="27"/>
    </row>
    <row r="563">
      <c r="A563" s="26"/>
      <c r="B563" s="27"/>
      <c r="I563" s="27"/>
    </row>
    <row r="564">
      <c r="A564" s="26"/>
      <c r="B564" s="27"/>
      <c r="I564" s="27"/>
    </row>
    <row r="565">
      <c r="A565" s="26"/>
      <c r="B565" s="27"/>
      <c r="I565" s="27"/>
    </row>
    <row r="566">
      <c r="A566" s="26"/>
      <c r="B566" s="27"/>
      <c r="I566" s="27"/>
    </row>
    <row r="567">
      <c r="A567" s="26"/>
      <c r="B567" s="27"/>
      <c r="I567" s="27"/>
    </row>
    <row r="568">
      <c r="A568" s="26"/>
      <c r="B568" s="27"/>
      <c r="I568" s="27"/>
    </row>
    <row r="569">
      <c r="A569" s="26"/>
      <c r="B569" s="27"/>
      <c r="I569" s="27"/>
    </row>
    <row r="570">
      <c r="A570" s="26"/>
      <c r="B570" s="27"/>
      <c r="I570" s="27"/>
    </row>
    <row r="571">
      <c r="A571" s="26"/>
      <c r="B571" s="27"/>
      <c r="I571" s="27"/>
    </row>
    <row r="572">
      <c r="A572" s="26"/>
      <c r="B572" s="27"/>
      <c r="I572" s="27"/>
    </row>
    <row r="573">
      <c r="A573" s="26"/>
      <c r="B573" s="27"/>
      <c r="I573" s="27"/>
    </row>
    <row r="574">
      <c r="A574" s="26"/>
      <c r="B574" s="27"/>
      <c r="I574" s="27"/>
    </row>
    <row r="575">
      <c r="A575" s="26"/>
      <c r="B575" s="27"/>
      <c r="I575" s="27"/>
    </row>
    <row r="576">
      <c r="A576" s="26"/>
      <c r="B576" s="27"/>
      <c r="I576" s="27"/>
    </row>
    <row r="577">
      <c r="A577" s="26"/>
      <c r="B577" s="27"/>
      <c r="I577" s="27"/>
    </row>
    <row r="578">
      <c r="A578" s="26"/>
      <c r="B578" s="27"/>
      <c r="I578" s="27"/>
    </row>
    <row r="579">
      <c r="A579" s="26"/>
      <c r="B579" s="27"/>
      <c r="I579" s="27"/>
    </row>
    <row r="580">
      <c r="A580" s="26"/>
      <c r="B580" s="27"/>
      <c r="I580" s="27"/>
    </row>
    <row r="581">
      <c r="A581" s="26"/>
      <c r="B581" s="27"/>
      <c r="I581" s="27"/>
    </row>
    <row r="582">
      <c r="A582" s="26"/>
      <c r="B582" s="27"/>
      <c r="I582" s="27"/>
    </row>
    <row r="583">
      <c r="A583" s="26"/>
      <c r="B583" s="27"/>
      <c r="I583" s="27"/>
    </row>
    <row r="584">
      <c r="A584" s="26"/>
      <c r="B584" s="27"/>
      <c r="I584" s="27"/>
    </row>
    <row r="585">
      <c r="A585" s="26"/>
      <c r="B585" s="27"/>
      <c r="I585" s="27"/>
    </row>
    <row r="586">
      <c r="A586" s="26"/>
      <c r="B586" s="27"/>
      <c r="I586" s="27"/>
    </row>
    <row r="587">
      <c r="A587" s="26"/>
      <c r="B587" s="27"/>
      <c r="I587" s="27"/>
    </row>
    <row r="588">
      <c r="A588" s="26"/>
      <c r="B588" s="27"/>
      <c r="I588" s="27"/>
    </row>
    <row r="589">
      <c r="A589" s="26"/>
      <c r="B589" s="27"/>
      <c r="I589" s="27"/>
    </row>
    <row r="590">
      <c r="A590" s="26"/>
      <c r="B590" s="27"/>
      <c r="I590" s="27"/>
    </row>
    <row r="591">
      <c r="A591" s="26"/>
      <c r="B591" s="27"/>
      <c r="I591" s="27"/>
    </row>
    <row r="592">
      <c r="A592" s="26"/>
      <c r="B592" s="27"/>
      <c r="I592" s="27"/>
    </row>
    <row r="593">
      <c r="A593" s="26"/>
      <c r="B593" s="27"/>
      <c r="I593" s="27"/>
    </row>
    <row r="594">
      <c r="A594" s="26"/>
      <c r="B594" s="27"/>
      <c r="I594" s="27"/>
    </row>
    <row r="595">
      <c r="A595" s="26"/>
      <c r="B595" s="27"/>
      <c r="I595" s="27"/>
    </row>
    <row r="596">
      <c r="A596" s="26"/>
      <c r="B596" s="27"/>
      <c r="I596" s="27"/>
    </row>
    <row r="597">
      <c r="A597" s="26"/>
      <c r="B597" s="27"/>
      <c r="I597" s="27"/>
    </row>
    <row r="598">
      <c r="A598" s="26"/>
      <c r="B598" s="27"/>
      <c r="I598" s="27"/>
    </row>
    <row r="599">
      <c r="A599" s="26"/>
      <c r="B599" s="27"/>
      <c r="I599" s="27"/>
    </row>
    <row r="600">
      <c r="A600" s="26"/>
      <c r="B600" s="27"/>
      <c r="I600" s="27"/>
    </row>
    <row r="601">
      <c r="A601" s="26"/>
      <c r="B601" s="27"/>
      <c r="I601" s="27"/>
    </row>
    <row r="602">
      <c r="A602" s="26"/>
      <c r="B602" s="27"/>
      <c r="I602" s="27"/>
    </row>
    <row r="603">
      <c r="A603" s="26"/>
      <c r="B603" s="27"/>
      <c r="I603" s="27"/>
    </row>
    <row r="604">
      <c r="A604" s="26"/>
      <c r="B604" s="27"/>
      <c r="I604" s="27"/>
    </row>
    <row r="605">
      <c r="A605" s="26"/>
      <c r="B605" s="27"/>
      <c r="I605" s="27"/>
    </row>
    <row r="606">
      <c r="A606" s="26"/>
      <c r="B606" s="27"/>
      <c r="I606" s="27"/>
    </row>
    <row r="607">
      <c r="A607" s="26"/>
      <c r="B607" s="27"/>
      <c r="I607" s="27"/>
    </row>
    <row r="608">
      <c r="A608" s="26"/>
      <c r="B608" s="27"/>
      <c r="I608" s="27"/>
    </row>
    <row r="609">
      <c r="A609" s="26"/>
      <c r="B609" s="27"/>
      <c r="I609" s="27"/>
    </row>
    <row r="610">
      <c r="A610" s="26"/>
      <c r="B610" s="27"/>
      <c r="I610" s="27"/>
    </row>
    <row r="611">
      <c r="A611" s="26"/>
      <c r="B611" s="27"/>
      <c r="I611" s="27"/>
    </row>
    <row r="612">
      <c r="A612" s="26"/>
      <c r="B612" s="27"/>
      <c r="I612" s="27"/>
    </row>
    <row r="613">
      <c r="A613" s="26"/>
      <c r="B613" s="27"/>
      <c r="I613" s="27"/>
    </row>
    <row r="614">
      <c r="A614" s="26"/>
      <c r="B614" s="27"/>
      <c r="I614" s="27"/>
    </row>
    <row r="615">
      <c r="A615" s="26"/>
      <c r="B615" s="27"/>
      <c r="I615" s="27"/>
    </row>
    <row r="616">
      <c r="A616" s="26"/>
      <c r="B616" s="27"/>
      <c r="I616" s="27"/>
    </row>
    <row r="617">
      <c r="A617" s="26"/>
      <c r="B617" s="27"/>
      <c r="I617" s="27"/>
    </row>
    <row r="618">
      <c r="A618" s="26"/>
      <c r="B618" s="27"/>
      <c r="I618" s="27"/>
    </row>
    <row r="619">
      <c r="A619" s="26"/>
      <c r="B619" s="27"/>
      <c r="I619" s="27"/>
    </row>
    <row r="620">
      <c r="A620" s="26"/>
      <c r="B620" s="27"/>
      <c r="I620" s="27"/>
    </row>
    <row r="621">
      <c r="A621" s="26"/>
      <c r="B621" s="27"/>
      <c r="I621" s="27"/>
    </row>
    <row r="622">
      <c r="A622" s="26"/>
      <c r="B622" s="27"/>
      <c r="I622" s="27"/>
    </row>
    <row r="623">
      <c r="A623" s="26"/>
      <c r="B623" s="27"/>
      <c r="I623" s="27"/>
    </row>
    <row r="624">
      <c r="A624" s="26"/>
      <c r="B624" s="27"/>
      <c r="I624" s="27"/>
    </row>
    <row r="625">
      <c r="A625" s="26"/>
      <c r="B625" s="27"/>
      <c r="I625" s="27"/>
    </row>
    <row r="626">
      <c r="A626" s="26"/>
      <c r="B626" s="27"/>
      <c r="I626" s="27"/>
    </row>
    <row r="627">
      <c r="A627" s="26"/>
      <c r="B627" s="27"/>
      <c r="I627" s="27"/>
    </row>
    <row r="628">
      <c r="A628" s="26"/>
      <c r="B628" s="27"/>
      <c r="I628" s="27"/>
    </row>
    <row r="629">
      <c r="A629" s="26"/>
      <c r="B629" s="27"/>
      <c r="I629" s="27"/>
    </row>
    <row r="630">
      <c r="A630" s="26"/>
      <c r="B630" s="27"/>
      <c r="I630" s="27"/>
    </row>
    <row r="631">
      <c r="A631" s="26"/>
      <c r="B631" s="27"/>
      <c r="I631" s="27"/>
    </row>
    <row r="632">
      <c r="A632" s="26"/>
      <c r="B632" s="27"/>
      <c r="I632" s="27"/>
    </row>
    <row r="633">
      <c r="A633" s="26"/>
      <c r="B633" s="27"/>
      <c r="I633" s="27"/>
    </row>
    <row r="634">
      <c r="A634" s="26"/>
      <c r="B634" s="27"/>
      <c r="I634" s="27"/>
    </row>
    <row r="635">
      <c r="A635" s="26"/>
      <c r="B635" s="27"/>
      <c r="I635" s="27"/>
    </row>
    <row r="636">
      <c r="A636" s="26"/>
      <c r="B636" s="27"/>
      <c r="I636" s="27"/>
    </row>
    <row r="637">
      <c r="A637" s="26"/>
      <c r="B637" s="27"/>
      <c r="I637" s="27"/>
    </row>
    <row r="638">
      <c r="A638" s="26"/>
      <c r="B638" s="27"/>
      <c r="I638" s="27"/>
    </row>
    <row r="639">
      <c r="A639" s="26"/>
      <c r="B639" s="27"/>
      <c r="I639" s="27"/>
    </row>
    <row r="640">
      <c r="A640" s="26"/>
      <c r="B640" s="27"/>
      <c r="I640" s="27"/>
    </row>
    <row r="641">
      <c r="A641" s="26"/>
      <c r="B641" s="27"/>
      <c r="I641" s="27"/>
    </row>
    <row r="642">
      <c r="A642" s="26"/>
      <c r="B642" s="27"/>
      <c r="I642" s="27"/>
    </row>
    <row r="643">
      <c r="A643" s="26"/>
      <c r="B643" s="27"/>
      <c r="I643" s="27"/>
    </row>
    <row r="644">
      <c r="A644" s="26"/>
      <c r="B644" s="27"/>
      <c r="I644" s="27"/>
    </row>
    <row r="645">
      <c r="A645" s="26"/>
      <c r="B645" s="27"/>
      <c r="I645" s="27"/>
    </row>
    <row r="646">
      <c r="A646" s="26"/>
      <c r="B646" s="27"/>
      <c r="I646" s="27"/>
    </row>
    <row r="647">
      <c r="A647" s="26"/>
      <c r="B647" s="27"/>
      <c r="I647" s="27"/>
    </row>
    <row r="648">
      <c r="A648" s="26"/>
      <c r="B648" s="27"/>
      <c r="I648" s="27"/>
    </row>
    <row r="649">
      <c r="A649" s="26"/>
      <c r="B649" s="27"/>
      <c r="I649" s="27"/>
    </row>
    <row r="650">
      <c r="A650" s="26"/>
      <c r="B650" s="27"/>
      <c r="I650" s="27"/>
    </row>
    <row r="651">
      <c r="A651" s="26"/>
      <c r="B651" s="27"/>
      <c r="I651" s="27"/>
    </row>
    <row r="652">
      <c r="A652" s="26"/>
      <c r="B652" s="27"/>
      <c r="I652" s="27"/>
    </row>
    <row r="653">
      <c r="A653" s="26"/>
      <c r="B653" s="27"/>
      <c r="I653" s="27"/>
    </row>
    <row r="654">
      <c r="A654" s="26"/>
      <c r="B654" s="27"/>
      <c r="I654" s="27"/>
    </row>
    <row r="655">
      <c r="A655" s="26"/>
      <c r="B655" s="27"/>
      <c r="I655" s="27"/>
    </row>
    <row r="656">
      <c r="A656" s="26"/>
      <c r="B656" s="27"/>
      <c r="I656" s="27"/>
    </row>
    <row r="657">
      <c r="A657" s="26"/>
      <c r="B657" s="27"/>
      <c r="I657" s="27"/>
    </row>
    <row r="658">
      <c r="A658" s="26"/>
      <c r="B658" s="27"/>
      <c r="I658" s="27"/>
    </row>
    <row r="659">
      <c r="A659" s="26"/>
      <c r="B659" s="27"/>
      <c r="I659" s="27"/>
    </row>
    <row r="660">
      <c r="A660" s="26"/>
      <c r="B660" s="27"/>
      <c r="I660" s="27"/>
    </row>
    <row r="661">
      <c r="A661" s="26"/>
      <c r="B661" s="27"/>
      <c r="I661" s="27"/>
    </row>
    <row r="662">
      <c r="A662" s="26"/>
      <c r="B662" s="27"/>
      <c r="I662" s="27"/>
    </row>
    <row r="663">
      <c r="A663" s="26"/>
      <c r="B663" s="27"/>
      <c r="I663" s="27"/>
    </row>
    <row r="664">
      <c r="A664" s="26"/>
      <c r="B664" s="27"/>
      <c r="I664" s="27"/>
    </row>
    <row r="665">
      <c r="A665" s="26"/>
      <c r="B665" s="27"/>
      <c r="I665" s="27"/>
    </row>
    <row r="666">
      <c r="A666" s="26"/>
      <c r="B666" s="27"/>
      <c r="I666" s="27"/>
    </row>
    <row r="667">
      <c r="A667" s="26"/>
      <c r="B667" s="27"/>
      <c r="I667" s="27"/>
    </row>
    <row r="668">
      <c r="A668" s="26"/>
      <c r="B668" s="27"/>
      <c r="I668" s="27"/>
    </row>
    <row r="669">
      <c r="A669" s="26"/>
      <c r="B669" s="27"/>
      <c r="I669" s="27"/>
    </row>
    <row r="670">
      <c r="A670" s="26"/>
      <c r="B670" s="27"/>
      <c r="I670" s="27"/>
    </row>
    <row r="671">
      <c r="A671" s="26"/>
      <c r="B671" s="27"/>
      <c r="I671" s="27"/>
    </row>
    <row r="672">
      <c r="A672" s="26"/>
      <c r="B672" s="27"/>
      <c r="I672" s="27"/>
    </row>
    <row r="673">
      <c r="A673" s="26"/>
      <c r="B673" s="27"/>
      <c r="I673" s="27"/>
    </row>
    <row r="674">
      <c r="A674" s="26"/>
      <c r="B674" s="27"/>
      <c r="I674" s="27"/>
    </row>
    <row r="675">
      <c r="A675" s="26"/>
      <c r="B675" s="27"/>
      <c r="I675" s="27"/>
    </row>
    <row r="676">
      <c r="A676" s="26"/>
      <c r="B676" s="27"/>
      <c r="I676" s="27"/>
    </row>
    <row r="677">
      <c r="A677" s="26"/>
      <c r="B677" s="27"/>
      <c r="I677" s="27"/>
    </row>
    <row r="678">
      <c r="A678" s="26"/>
      <c r="B678" s="27"/>
      <c r="I678" s="27"/>
    </row>
    <row r="679">
      <c r="A679" s="26"/>
      <c r="B679" s="27"/>
      <c r="I679" s="27"/>
    </row>
    <row r="680">
      <c r="A680" s="26"/>
      <c r="B680" s="27"/>
      <c r="I680" s="27"/>
    </row>
    <row r="681">
      <c r="A681" s="26"/>
      <c r="B681" s="27"/>
      <c r="I681" s="27"/>
    </row>
    <row r="682">
      <c r="A682" s="26"/>
      <c r="B682" s="27"/>
      <c r="I682" s="27"/>
    </row>
    <row r="683">
      <c r="A683" s="26"/>
      <c r="B683" s="27"/>
      <c r="I683" s="27"/>
    </row>
    <row r="684">
      <c r="A684" s="26"/>
      <c r="B684" s="27"/>
      <c r="I684" s="27"/>
    </row>
    <row r="685">
      <c r="A685" s="26"/>
      <c r="B685" s="27"/>
      <c r="I685" s="27"/>
    </row>
    <row r="686">
      <c r="A686" s="26"/>
      <c r="B686" s="27"/>
      <c r="I686" s="27"/>
    </row>
    <row r="687">
      <c r="A687" s="26"/>
      <c r="B687" s="27"/>
      <c r="I687" s="27"/>
    </row>
    <row r="688">
      <c r="A688" s="26"/>
      <c r="B688" s="27"/>
      <c r="I688" s="27"/>
    </row>
    <row r="689">
      <c r="A689" s="26"/>
      <c r="B689" s="27"/>
      <c r="I689" s="27"/>
    </row>
    <row r="690">
      <c r="A690" s="26"/>
      <c r="B690" s="27"/>
      <c r="I690" s="27"/>
    </row>
    <row r="691">
      <c r="A691" s="26"/>
      <c r="B691" s="27"/>
      <c r="I691" s="27"/>
    </row>
    <row r="692">
      <c r="A692" s="26"/>
      <c r="B692" s="27"/>
      <c r="I692" s="27"/>
    </row>
    <row r="693">
      <c r="A693" s="26"/>
      <c r="B693" s="27"/>
      <c r="I693" s="27"/>
    </row>
    <row r="694">
      <c r="A694" s="26"/>
      <c r="B694" s="27"/>
      <c r="I694" s="27"/>
    </row>
    <row r="695">
      <c r="A695" s="26"/>
      <c r="B695" s="27"/>
      <c r="I695" s="27"/>
    </row>
    <row r="696">
      <c r="A696" s="26"/>
      <c r="B696" s="27"/>
      <c r="I696" s="27"/>
    </row>
    <row r="697">
      <c r="A697" s="26"/>
      <c r="B697" s="27"/>
      <c r="I697" s="27"/>
    </row>
    <row r="698">
      <c r="A698" s="26"/>
      <c r="B698" s="27"/>
      <c r="I698" s="27"/>
    </row>
    <row r="699">
      <c r="A699" s="26"/>
      <c r="B699" s="27"/>
      <c r="I699" s="27"/>
    </row>
    <row r="700">
      <c r="A700" s="26"/>
      <c r="B700" s="27"/>
      <c r="I700" s="27"/>
    </row>
    <row r="701">
      <c r="A701" s="26"/>
      <c r="B701" s="27"/>
      <c r="I701" s="27"/>
    </row>
    <row r="702">
      <c r="A702" s="26"/>
      <c r="B702" s="27"/>
      <c r="I702" s="27"/>
    </row>
    <row r="703">
      <c r="A703" s="26"/>
      <c r="B703" s="27"/>
      <c r="I703" s="27"/>
    </row>
    <row r="704">
      <c r="A704" s="26"/>
      <c r="B704" s="27"/>
      <c r="I704" s="27"/>
    </row>
    <row r="705">
      <c r="A705" s="26"/>
      <c r="B705" s="27"/>
      <c r="I705" s="27"/>
    </row>
    <row r="706">
      <c r="A706" s="26"/>
      <c r="B706" s="27"/>
      <c r="I706" s="27"/>
    </row>
    <row r="707">
      <c r="A707" s="26"/>
      <c r="B707" s="27"/>
      <c r="I707" s="27"/>
    </row>
    <row r="708">
      <c r="A708" s="26"/>
      <c r="B708" s="27"/>
      <c r="I708" s="27"/>
    </row>
    <row r="709">
      <c r="A709" s="26"/>
      <c r="B709" s="27"/>
      <c r="I709" s="27"/>
    </row>
    <row r="710">
      <c r="A710" s="26"/>
      <c r="B710" s="27"/>
      <c r="I710" s="27"/>
    </row>
    <row r="711">
      <c r="A711" s="26"/>
      <c r="B711" s="27"/>
      <c r="I711" s="27"/>
    </row>
    <row r="712">
      <c r="A712" s="26"/>
      <c r="B712" s="27"/>
      <c r="I712" s="27"/>
    </row>
    <row r="713">
      <c r="A713" s="26"/>
      <c r="B713" s="27"/>
      <c r="I713" s="27"/>
    </row>
    <row r="714">
      <c r="A714" s="26"/>
      <c r="B714" s="27"/>
      <c r="I714" s="27"/>
    </row>
    <row r="715">
      <c r="A715" s="26"/>
      <c r="B715" s="27"/>
      <c r="I715" s="27"/>
    </row>
    <row r="716">
      <c r="A716" s="26"/>
      <c r="B716" s="27"/>
      <c r="I716" s="27"/>
    </row>
    <row r="717">
      <c r="A717" s="26"/>
      <c r="B717" s="27"/>
      <c r="I717" s="27"/>
    </row>
    <row r="718">
      <c r="A718" s="26"/>
      <c r="B718" s="27"/>
      <c r="I718" s="27"/>
    </row>
    <row r="719">
      <c r="A719" s="26"/>
      <c r="B719" s="27"/>
      <c r="I719" s="27"/>
    </row>
    <row r="720">
      <c r="A720" s="26"/>
      <c r="B720" s="27"/>
      <c r="I720" s="27"/>
    </row>
    <row r="721">
      <c r="A721" s="26"/>
      <c r="B721" s="27"/>
      <c r="I721" s="27"/>
    </row>
    <row r="722">
      <c r="A722" s="26"/>
      <c r="B722" s="27"/>
      <c r="I722" s="27"/>
    </row>
    <row r="723">
      <c r="A723" s="26"/>
      <c r="B723" s="27"/>
      <c r="I723" s="27"/>
    </row>
    <row r="724">
      <c r="A724" s="26"/>
      <c r="B724" s="27"/>
      <c r="I724" s="27"/>
    </row>
    <row r="725">
      <c r="A725" s="26"/>
      <c r="B725" s="27"/>
      <c r="I725" s="27"/>
    </row>
    <row r="726">
      <c r="A726" s="26"/>
      <c r="B726" s="27"/>
      <c r="I726" s="27"/>
    </row>
    <row r="727">
      <c r="A727" s="26"/>
      <c r="B727" s="27"/>
      <c r="I727" s="27"/>
    </row>
    <row r="728">
      <c r="A728" s="26"/>
      <c r="B728" s="27"/>
      <c r="I728" s="27"/>
    </row>
    <row r="729">
      <c r="A729" s="26"/>
      <c r="B729" s="27"/>
      <c r="I729" s="27"/>
    </row>
    <row r="730">
      <c r="A730" s="26"/>
      <c r="B730" s="27"/>
      <c r="I730" s="27"/>
    </row>
    <row r="731">
      <c r="A731" s="26"/>
      <c r="B731" s="27"/>
      <c r="I731" s="27"/>
    </row>
    <row r="732">
      <c r="A732" s="26"/>
      <c r="B732" s="27"/>
      <c r="I732" s="27"/>
    </row>
    <row r="733">
      <c r="A733" s="26"/>
      <c r="B733" s="27"/>
      <c r="I733" s="27"/>
    </row>
    <row r="734">
      <c r="A734" s="26"/>
      <c r="B734" s="27"/>
      <c r="I734" s="27"/>
    </row>
    <row r="735">
      <c r="A735" s="26"/>
      <c r="B735" s="27"/>
      <c r="I735" s="27"/>
    </row>
    <row r="736">
      <c r="A736" s="26"/>
      <c r="B736" s="27"/>
      <c r="I736" s="27"/>
    </row>
    <row r="737">
      <c r="A737" s="26"/>
      <c r="B737" s="27"/>
      <c r="I737" s="27"/>
    </row>
    <row r="738">
      <c r="A738" s="26"/>
      <c r="B738" s="27"/>
      <c r="I738" s="27"/>
    </row>
    <row r="739">
      <c r="A739" s="26"/>
      <c r="B739" s="27"/>
      <c r="I739" s="27"/>
    </row>
    <row r="740">
      <c r="A740" s="26"/>
      <c r="B740" s="27"/>
      <c r="I740" s="27"/>
    </row>
    <row r="741">
      <c r="A741" s="26"/>
      <c r="B741" s="27"/>
      <c r="I741" s="27"/>
    </row>
    <row r="742">
      <c r="A742" s="26"/>
      <c r="B742" s="27"/>
      <c r="I742" s="27"/>
    </row>
    <row r="743">
      <c r="A743" s="26"/>
      <c r="B743" s="27"/>
      <c r="I743" s="27"/>
    </row>
    <row r="744">
      <c r="A744" s="26"/>
      <c r="B744" s="27"/>
      <c r="I744" s="27"/>
    </row>
    <row r="745">
      <c r="A745" s="26"/>
      <c r="B745" s="27"/>
      <c r="I745" s="27"/>
    </row>
    <row r="746">
      <c r="A746" s="26"/>
      <c r="B746" s="27"/>
      <c r="I746" s="27"/>
    </row>
    <row r="747">
      <c r="A747" s="26"/>
      <c r="B747" s="27"/>
      <c r="I747" s="27"/>
    </row>
    <row r="748">
      <c r="A748" s="26"/>
      <c r="B748" s="27"/>
      <c r="I748" s="27"/>
    </row>
    <row r="749">
      <c r="A749" s="26"/>
      <c r="B749" s="27"/>
      <c r="I749" s="27"/>
    </row>
    <row r="750">
      <c r="A750" s="26"/>
      <c r="B750" s="27"/>
      <c r="I750" s="27"/>
    </row>
    <row r="751">
      <c r="A751" s="26"/>
      <c r="B751" s="27"/>
      <c r="I751" s="27"/>
    </row>
    <row r="752">
      <c r="A752" s="26"/>
      <c r="B752" s="27"/>
      <c r="I752" s="27"/>
    </row>
    <row r="753">
      <c r="A753" s="26"/>
      <c r="B753" s="27"/>
      <c r="I753" s="27"/>
    </row>
    <row r="754">
      <c r="A754" s="26"/>
      <c r="B754" s="27"/>
      <c r="I754" s="27"/>
    </row>
    <row r="755">
      <c r="A755" s="26"/>
      <c r="B755" s="27"/>
      <c r="I755" s="27"/>
    </row>
    <row r="756">
      <c r="A756" s="26"/>
      <c r="B756" s="27"/>
      <c r="I756" s="27"/>
    </row>
    <row r="757">
      <c r="A757" s="26"/>
      <c r="B757" s="27"/>
      <c r="I757" s="27"/>
    </row>
    <row r="758">
      <c r="A758" s="26"/>
      <c r="B758" s="27"/>
      <c r="I758" s="27"/>
    </row>
    <row r="759">
      <c r="A759" s="26"/>
      <c r="B759" s="27"/>
      <c r="I759" s="27"/>
    </row>
    <row r="760">
      <c r="A760" s="26"/>
      <c r="B760" s="27"/>
      <c r="I760" s="27"/>
    </row>
    <row r="761">
      <c r="A761" s="26"/>
      <c r="B761" s="27"/>
      <c r="I761" s="27"/>
    </row>
    <row r="762">
      <c r="A762" s="26"/>
      <c r="B762" s="27"/>
      <c r="I762" s="27"/>
    </row>
    <row r="763">
      <c r="A763" s="26"/>
      <c r="B763" s="27"/>
      <c r="I763" s="27"/>
    </row>
    <row r="764">
      <c r="A764" s="26"/>
      <c r="B764" s="27"/>
      <c r="I764" s="27"/>
    </row>
    <row r="765">
      <c r="A765" s="26"/>
      <c r="B765" s="27"/>
      <c r="I765" s="27"/>
    </row>
    <row r="766">
      <c r="A766" s="26"/>
      <c r="B766" s="27"/>
      <c r="I766" s="27"/>
    </row>
    <row r="767">
      <c r="A767" s="26"/>
      <c r="B767" s="27"/>
      <c r="I767" s="27"/>
    </row>
    <row r="768">
      <c r="A768" s="26"/>
      <c r="B768" s="27"/>
      <c r="I768" s="27"/>
    </row>
    <row r="769">
      <c r="A769" s="26"/>
      <c r="B769" s="27"/>
      <c r="I769" s="27"/>
    </row>
    <row r="770">
      <c r="A770" s="26"/>
      <c r="B770" s="27"/>
      <c r="I770" s="27"/>
    </row>
    <row r="771">
      <c r="A771" s="26"/>
      <c r="B771" s="27"/>
      <c r="I771" s="27"/>
    </row>
    <row r="772">
      <c r="A772" s="26"/>
      <c r="B772" s="27"/>
      <c r="I772" s="27"/>
    </row>
    <row r="773">
      <c r="A773" s="26"/>
      <c r="B773" s="27"/>
      <c r="I773" s="27"/>
    </row>
    <row r="774">
      <c r="A774" s="26"/>
      <c r="B774" s="27"/>
      <c r="I774" s="27"/>
    </row>
    <row r="775">
      <c r="A775" s="26"/>
      <c r="B775" s="27"/>
      <c r="I775" s="27"/>
    </row>
    <row r="776">
      <c r="A776" s="26"/>
      <c r="B776" s="27"/>
      <c r="I776" s="27"/>
    </row>
    <row r="777">
      <c r="A777" s="26"/>
      <c r="B777" s="27"/>
      <c r="I777" s="27"/>
    </row>
    <row r="778">
      <c r="A778" s="26"/>
      <c r="B778" s="27"/>
      <c r="I778" s="27"/>
    </row>
    <row r="779">
      <c r="A779" s="26"/>
      <c r="B779" s="27"/>
      <c r="I779" s="27"/>
    </row>
    <row r="780">
      <c r="A780" s="26"/>
      <c r="B780" s="27"/>
      <c r="I780" s="27"/>
    </row>
    <row r="781">
      <c r="A781" s="26"/>
      <c r="B781" s="27"/>
      <c r="I781" s="27"/>
    </row>
    <row r="782">
      <c r="A782" s="26"/>
      <c r="B782" s="27"/>
      <c r="I782" s="27"/>
    </row>
    <row r="783">
      <c r="A783" s="26"/>
      <c r="B783" s="27"/>
      <c r="I783" s="27"/>
    </row>
    <row r="784">
      <c r="A784" s="26"/>
      <c r="B784" s="27"/>
      <c r="I784" s="27"/>
    </row>
    <row r="785">
      <c r="A785" s="26"/>
      <c r="B785" s="27"/>
      <c r="I785" s="27"/>
    </row>
    <row r="786">
      <c r="A786" s="26"/>
      <c r="B786" s="27"/>
      <c r="I786" s="27"/>
    </row>
    <row r="787">
      <c r="A787" s="26"/>
      <c r="B787" s="27"/>
      <c r="I787" s="27"/>
    </row>
    <row r="788">
      <c r="A788" s="26"/>
      <c r="B788" s="27"/>
      <c r="I788" s="27"/>
    </row>
    <row r="789">
      <c r="A789" s="26"/>
      <c r="B789" s="27"/>
      <c r="I789" s="27"/>
    </row>
    <row r="790">
      <c r="A790" s="26"/>
      <c r="B790" s="27"/>
      <c r="I790" s="27"/>
    </row>
    <row r="791">
      <c r="A791" s="26"/>
      <c r="B791" s="27"/>
      <c r="I791" s="27"/>
    </row>
    <row r="792">
      <c r="A792" s="26"/>
      <c r="B792" s="27"/>
      <c r="I792" s="27"/>
    </row>
    <row r="793">
      <c r="A793" s="26"/>
      <c r="B793" s="27"/>
      <c r="I793" s="27"/>
    </row>
    <row r="794">
      <c r="A794" s="26"/>
      <c r="B794" s="27"/>
      <c r="I794" s="27"/>
    </row>
    <row r="795">
      <c r="A795" s="26"/>
      <c r="B795" s="27"/>
      <c r="I795" s="27"/>
    </row>
    <row r="796">
      <c r="A796" s="26"/>
      <c r="B796" s="27"/>
      <c r="I796" s="27"/>
    </row>
    <row r="797">
      <c r="A797" s="26"/>
      <c r="B797" s="27"/>
      <c r="I797" s="27"/>
    </row>
    <row r="798">
      <c r="A798" s="26"/>
      <c r="B798" s="27"/>
      <c r="I798" s="27"/>
    </row>
    <row r="799">
      <c r="A799" s="26"/>
      <c r="B799" s="27"/>
      <c r="I799" s="27"/>
    </row>
    <row r="800">
      <c r="A800" s="26"/>
      <c r="B800" s="27"/>
      <c r="I800" s="27"/>
    </row>
    <row r="801">
      <c r="A801" s="26"/>
      <c r="B801" s="27"/>
      <c r="I801" s="27"/>
    </row>
    <row r="802">
      <c r="A802" s="26"/>
      <c r="B802" s="27"/>
      <c r="I802" s="27"/>
    </row>
    <row r="803">
      <c r="A803" s="26"/>
      <c r="B803" s="27"/>
      <c r="I803" s="27"/>
    </row>
    <row r="804">
      <c r="A804" s="26"/>
      <c r="B804" s="27"/>
      <c r="I804" s="27"/>
    </row>
    <row r="805">
      <c r="A805" s="26"/>
      <c r="B805" s="27"/>
      <c r="I805" s="27"/>
    </row>
    <row r="806">
      <c r="A806" s="26"/>
      <c r="B806" s="27"/>
      <c r="I806" s="27"/>
    </row>
    <row r="807">
      <c r="A807" s="26"/>
      <c r="B807" s="27"/>
      <c r="I807" s="27"/>
    </row>
    <row r="808">
      <c r="A808" s="26"/>
      <c r="B808" s="27"/>
      <c r="I808" s="27"/>
    </row>
    <row r="809">
      <c r="A809" s="26"/>
      <c r="B809" s="27"/>
      <c r="I809" s="27"/>
    </row>
    <row r="810">
      <c r="A810" s="26"/>
      <c r="B810" s="27"/>
      <c r="I810" s="27"/>
    </row>
    <row r="811">
      <c r="A811" s="26"/>
      <c r="B811" s="27"/>
      <c r="I811" s="27"/>
    </row>
    <row r="812">
      <c r="A812" s="26"/>
      <c r="B812" s="27"/>
      <c r="I812" s="27"/>
    </row>
    <row r="813">
      <c r="A813" s="26"/>
      <c r="B813" s="27"/>
      <c r="I813" s="27"/>
    </row>
    <row r="814">
      <c r="A814" s="26"/>
      <c r="B814" s="27"/>
      <c r="I814" s="27"/>
    </row>
    <row r="815">
      <c r="A815" s="26"/>
      <c r="B815" s="27"/>
      <c r="I815" s="27"/>
    </row>
    <row r="816">
      <c r="A816" s="26"/>
      <c r="B816" s="27"/>
      <c r="I816" s="27"/>
    </row>
    <row r="817">
      <c r="A817" s="26"/>
      <c r="B817" s="27"/>
      <c r="I817" s="27"/>
    </row>
    <row r="818">
      <c r="A818" s="26"/>
      <c r="B818" s="27"/>
      <c r="I818" s="27"/>
    </row>
    <row r="819">
      <c r="A819" s="26"/>
      <c r="B819" s="27"/>
      <c r="I819" s="27"/>
    </row>
    <row r="820">
      <c r="A820" s="26"/>
      <c r="B820" s="27"/>
      <c r="I820" s="27"/>
    </row>
    <row r="821">
      <c r="A821" s="26"/>
      <c r="B821" s="27"/>
      <c r="I821" s="27"/>
    </row>
    <row r="822">
      <c r="A822" s="26"/>
      <c r="B822" s="27"/>
      <c r="I822" s="27"/>
    </row>
    <row r="823">
      <c r="A823" s="26"/>
      <c r="B823" s="27"/>
      <c r="I823" s="27"/>
    </row>
    <row r="824">
      <c r="A824" s="26"/>
      <c r="B824" s="27"/>
      <c r="I824" s="27"/>
    </row>
    <row r="825">
      <c r="A825" s="26"/>
      <c r="B825" s="27"/>
      <c r="I825" s="27"/>
    </row>
    <row r="826">
      <c r="A826" s="26"/>
      <c r="B826" s="27"/>
      <c r="I826" s="27"/>
    </row>
    <row r="827">
      <c r="A827" s="26"/>
      <c r="B827" s="27"/>
      <c r="I827" s="27"/>
    </row>
    <row r="828">
      <c r="A828" s="26"/>
      <c r="B828" s="27"/>
      <c r="I828" s="27"/>
    </row>
    <row r="829">
      <c r="A829" s="26"/>
      <c r="B829" s="27"/>
      <c r="I829" s="27"/>
    </row>
    <row r="830">
      <c r="A830" s="26"/>
      <c r="B830" s="27"/>
      <c r="I830" s="27"/>
    </row>
    <row r="831">
      <c r="A831" s="26"/>
      <c r="B831" s="27"/>
      <c r="I831" s="27"/>
    </row>
    <row r="832">
      <c r="A832" s="26"/>
      <c r="B832" s="27"/>
      <c r="I832" s="27"/>
    </row>
    <row r="833">
      <c r="A833" s="26"/>
      <c r="B833" s="27"/>
      <c r="I833" s="27"/>
    </row>
    <row r="834">
      <c r="A834" s="26"/>
      <c r="B834" s="27"/>
      <c r="I834" s="27"/>
    </row>
    <row r="835">
      <c r="A835" s="26"/>
      <c r="B835" s="27"/>
      <c r="I835" s="27"/>
    </row>
    <row r="836">
      <c r="A836" s="26"/>
      <c r="B836" s="27"/>
      <c r="I836" s="27"/>
    </row>
    <row r="837">
      <c r="A837" s="26"/>
      <c r="B837" s="27"/>
      <c r="I837" s="27"/>
    </row>
    <row r="838">
      <c r="A838" s="26"/>
      <c r="B838" s="27"/>
      <c r="I838" s="27"/>
    </row>
    <row r="839">
      <c r="A839" s="26"/>
      <c r="B839" s="27"/>
      <c r="I839" s="27"/>
    </row>
    <row r="840">
      <c r="A840" s="26"/>
      <c r="B840" s="27"/>
      <c r="I840" s="27"/>
    </row>
    <row r="841">
      <c r="A841" s="26"/>
      <c r="B841" s="27"/>
      <c r="I841" s="27"/>
    </row>
    <row r="842">
      <c r="A842" s="26"/>
      <c r="B842" s="27"/>
      <c r="I842" s="27"/>
    </row>
    <row r="843">
      <c r="A843" s="26"/>
      <c r="B843" s="27"/>
      <c r="I843" s="27"/>
    </row>
    <row r="844">
      <c r="A844" s="26"/>
      <c r="B844" s="27"/>
      <c r="I844" s="27"/>
    </row>
    <row r="845">
      <c r="A845" s="26"/>
      <c r="B845" s="27"/>
      <c r="I845" s="27"/>
    </row>
    <row r="846">
      <c r="A846" s="26"/>
      <c r="B846" s="27"/>
      <c r="I846" s="27"/>
    </row>
    <row r="847">
      <c r="A847" s="26"/>
      <c r="B847" s="27"/>
      <c r="I847" s="27"/>
    </row>
    <row r="848">
      <c r="A848" s="26"/>
      <c r="B848" s="27"/>
      <c r="I848" s="27"/>
    </row>
    <row r="849">
      <c r="A849" s="26"/>
      <c r="B849" s="27"/>
      <c r="I849" s="27"/>
    </row>
    <row r="850">
      <c r="A850" s="26"/>
      <c r="B850" s="27"/>
      <c r="I850" s="27"/>
    </row>
    <row r="851">
      <c r="A851" s="26"/>
      <c r="B851" s="27"/>
      <c r="I851" s="27"/>
    </row>
    <row r="852">
      <c r="A852" s="26"/>
      <c r="B852" s="27"/>
      <c r="I852" s="27"/>
    </row>
    <row r="853">
      <c r="A853" s="26"/>
      <c r="B853" s="27"/>
      <c r="I853" s="27"/>
    </row>
    <row r="854">
      <c r="A854" s="26"/>
      <c r="B854" s="27"/>
      <c r="I854" s="27"/>
    </row>
    <row r="855">
      <c r="A855" s="26"/>
      <c r="B855" s="27"/>
      <c r="I855" s="27"/>
    </row>
    <row r="856">
      <c r="A856" s="26"/>
      <c r="B856" s="27"/>
      <c r="I856" s="27"/>
    </row>
    <row r="857">
      <c r="A857" s="26"/>
      <c r="B857" s="27"/>
      <c r="I857" s="27"/>
    </row>
    <row r="858">
      <c r="A858" s="26"/>
      <c r="B858" s="27"/>
      <c r="I858" s="27"/>
    </row>
    <row r="859">
      <c r="A859" s="26"/>
      <c r="B859" s="27"/>
      <c r="I859" s="27"/>
    </row>
    <row r="860">
      <c r="A860" s="26"/>
      <c r="B860" s="27"/>
      <c r="I860" s="27"/>
    </row>
    <row r="861">
      <c r="A861" s="26"/>
      <c r="B861" s="27"/>
      <c r="I861" s="27"/>
    </row>
    <row r="862">
      <c r="A862" s="26"/>
      <c r="B862" s="27"/>
      <c r="I862" s="27"/>
    </row>
    <row r="863">
      <c r="A863" s="26"/>
      <c r="B863" s="27"/>
      <c r="I863" s="27"/>
    </row>
    <row r="864">
      <c r="A864" s="26"/>
      <c r="B864" s="27"/>
      <c r="I864" s="27"/>
    </row>
    <row r="865">
      <c r="A865" s="26"/>
      <c r="B865" s="27"/>
      <c r="I865" s="27"/>
    </row>
    <row r="866">
      <c r="A866" s="26"/>
      <c r="B866" s="27"/>
      <c r="I866" s="27"/>
    </row>
    <row r="867">
      <c r="A867" s="26"/>
      <c r="B867" s="27"/>
      <c r="I867" s="27"/>
    </row>
    <row r="868">
      <c r="A868" s="26"/>
      <c r="B868" s="27"/>
      <c r="I868" s="27"/>
    </row>
    <row r="869">
      <c r="A869" s="26"/>
      <c r="B869" s="27"/>
      <c r="I869" s="27"/>
    </row>
    <row r="870">
      <c r="A870" s="26"/>
      <c r="B870" s="27"/>
      <c r="I870" s="27"/>
    </row>
    <row r="871">
      <c r="A871" s="26"/>
      <c r="B871" s="27"/>
      <c r="I871" s="27"/>
    </row>
    <row r="872">
      <c r="A872" s="26"/>
      <c r="B872" s="27"/>
      <c r="I872" s="27"/>
    </row>
    <row r="873">
      <c r="A873" s="26"/>
      <c r="B873" s="27"/>
      <c r="I873" s="27"/>
    </row>
    <row r="874">
      <c r="A874" s="26"/>
      <c r="B874" s="27"/>
      <c r="I874" s="27"/>
    </row>
    <row r="875">
      <c r="A875" s="26"/>
      <c r="B875" s="27"/>
      <c r="I875" s="27"/>
    </row>
    <row r="876">
      <c r="A876" s="26"/>
      <c r="B876" s="27"/>
      <c r="I876" s="27"/>
    </row>
    <row r="877">
      <c r="A877" s="26"/>
      <c r="B877" s="27"/>
      <c r="I877" s="27"/>
    </row>
    <row r="878">
      <c r="A878" s="26"/>
      <c r="B878" s="27"/>
      <c r="I878" s="27"/>
    </row>
    <row r="879">
      <c r="A879" s="26"/>
      <c r="B879" s="27"/>
      <c r="I879" s="27"/>
    </row>
    <row r="880">
      <c r="A880" s="26"/>
      <c r="B880" s="27"/>
      <c r="I880" s="27"/>
    </row>
    <row r="881">
      <c r="A881" s="26"/>
      <c r="B881" s="27"/>
      <c r="I881" s="27"/>
    </row>
    <row r="882">
      <c r="A882" s="26"/>
      <c r="B882" s="27"/>
      <c r="I882" s="27"/>
    </row>
    <row r="883">
      <c r="A883" s="26"/>
      <c r="B883" s="27"/>
      <c r="I883" s="27"/>
    </row>
    <row r="884">
      <c r="A884" s="26"/>
      <c r="B884" s="27"/>
      <c r="I884" s="27"/>
    </row>
    <row r="885">
      <c r="A885" s="26"/>
      <c r="B885" s="27"/>
      <c r="I885" s="27"/>
    </row>
    <row r="886">
      <c r="A886" s="26"/>
      <c r="B886" s="27"/>
      <c r="I886" s="27"/>
    </row>
    <row r="887">
      <c r="A887" s="26"/>
      <c r="B887" s="27"/>
      <c r="I887" s="27"/>
    </row>
    <row r="888">
      <c r="A888" s="26"/>
      <c r="B888" s="27"/>
      <c r="I888" s="27"/>
    </row>
    <row r="889">
      <c r="A889" s="26"/>
      <c r="B889" s="27"/>
      <c r="I889" s="27"/>
    </row>
    <row r="890">
      <c r="A890" s="26"/>
      <c r="B890" s="27"/>
      <c r="I890" s="27"/>
    </row>
    <row r="891">
      <c r="A891" s="26"/>
      <c r="B891" s="27"/>
      <c r="I891" s="27"/>
    </row>
    <row r="892">
      <c r="A892" s="26"/>
      <c r="B892" s="27"/>
      <c r="I892" s="27"/>
    </row>
    <row r="893">
      <c r="A893" s="26"/>
      <c r="B893" s="27"/>
      <c r="I893" s="27"/>
    </row>
    <row r="894">
      <c r="A894" s="26"/>
      <c r="B894" s="27"/>
      <c r="I894" s="27"/>
    </row>
    <row r="895">
      <c r="A895" s="26"/>
      <c r="B895" s="27"/>
      <c r="I895" s="27"/>
    </row>
    <row r="896">
      <c r="A896" s="26"/>
      <c r="B896" s="27"/>
      <c r="I896" s="27"/>
    </row>
    <row r="897">
      <c r="A897" s="26"/>
      <c r="B897" s="27"/>
      <c r="I897" s="27"/>
    </row>
    <row r="898">
      <c r="A898" s="26"/>
      <c r="B898" s="27"/>
      <c r="I898" s="27"/>
    </row>
    <row r="899">
      <c r="A899" s="26"/>
      <c r="B899" s="27"/>
      <c r="I899" s="27"/>
    </row>
    <row r="900">
      <c r="A900" s="26"/>
      <c r="B900" s="27"/>
      <c r="I900" s="27"/>
    </row>
    <row r="901">
      <c r="A901" s="26"/>
      <c r="B901" s="27"/>
      <c r="I901" s="27"/>
    </row>
    <row r="902">
      <c r="A902" s="26"/>
      <c r="B902" s="27"/>
      <c r="I902" s="27"/>
    </row>
    <row r="903">
      <c r="A903" s="26"/>
      <c r="B903" s="27"/>
      <c r="I903" s="27"/>
    </row>
    <row r="904">
      <c r="A904" s="26"/>
      <c r="B904" s="27"/>
      <c r="I904" s="27"/>
    </row>
    <row r="905">
      <c r="A905" s="26"/>
      <c r="B905" s="27"/>
      <c r="I905" s="27"/>
    </row>
    <row r="906">
      <c r="A906" s="26"/>
      <c r="B906" s="27"/>
      <c r="I906" s="27"/>
    </row>
    <row r="907">
      <c r="A907" s="26"/>
      <c r="B907" s="27"/>
      <c r="I907" s="27"/>
    </row>
    <row r="908">
      <c r="A908" s="26"/>
      <c r="B908" s="27"/>
      <c r="I908" s="27"/>
    </row>
    <row r="909">
      <c r="A909" s="26"/>
      <c r="B909" s="27"/>
      <c r="I909" s="27"/>
    </row>
    <row r="910">
      <c r="A910" s="26"/>
      <c r="B910" s="27"/>
      <c r="I910" s="27"/>
    </row>
    <row r="911">
      <c r="A911" s="26"/>
      <c r="B911" s="27"/>
      <c r="I911" s="27"/>
    </row>
    <row r="912">
      <c r="A912" s="26"/>
      <c r="B912" s="27"/>
      <c r="I912" s="27"/>
    </row>
    <row r="913">
      <c r="A913" s="26"/>
      <c r="B913" s="27"/>
      <c r="I913" s="27"/>
    </row>
    <row r="914">
      <c r="A914" s="26"/>
      <c r="B914" s="27"/>
      <c r="I914" s="27"/>
    </row>
    <row r="915">
      <c r="A915" s="26"/>
      <c r="B915" s="27"/>
      <c r="I915" s="27"/>
    </row>
    <row r="916">
      <c r="A916" s="26"/>
      <c r="B916" s="27"/>
      <c r="I916" s="27"/>
    </row>
    <row r="917">
      <c r="A917" s="26"/>
      <c r="B917" s="27"/>
      <c r="I917" s="27"/>
    </row>
    <row r="918">
      <c r="A918" s="26"/>
      <c r="B918" s="27"/>
      <c r="I918" s="27"/>
    </row>
    <row r="919">
      <c r="A919" s="26"/>
      <c r="B919" s="27"/>
      <c r="I919" s="27"/>
    </row>
    <row r="920">
      <c r="A920" s="26"/>
      <c r="B920" s="27"/>
      <c r="I920" s="27"/>
    </row>
    <row r="921">
      <c r="A921" s="26"/>
      <c r="B921" s="27"/>
      <c r="I921" s="27"/>
    </row>
    <row r="922">
      <c r="A922" s="26"/>
      <c r="B922" s="27"/>
      <c r="I922" s="27"/>
    </row>
    <row r="923">
      <c r="A923" s="26"/>
      <c r="B923" s="27"/>
      <c r="I923" s="27"/>
    </row>
    <row r="924">
      <c r="A924" s="26"/>
      <c r="B924" s="27"/>
      <c r="I924" s="27"/>
    </row>
    <row r="925">
      <c r="A925" s="26"/>
      <c r="B925" s="27"/>
      <c r="I925" s="27"/>
    </row>
    <row r="926">
      <c r="A926" s="26"/>
      <c r="B926" s="27"/>
      <c r="I926" s="27"/>
    </row>
    <row r="927">
      <c r="A927" s="26"/>
      <c r="B927" s="27"/>
      <c r="I927" s="27"/>
    </row>
    <row r="928">
      <c r="A928" s="26"/>
      <c r="B928" s="27"/>
      <c r="I928" s="27"/>
    </row>
    <row r="929">
      <c r="A929" s="26"/>
      <c r="B929" s="27"/>
      <c r="I929" s="27"/>
    </row>
    <row r="930">
      <c r="A930" s="26"/>
      <c r="B930" s="27"/>
      <c r="I930" s="27"/>
    </row>
    <row r="931">
      <c r="A931" s="26"/>
      <c r="B931" s="27"/>
      <c r="I931" s="27"/>
    </row>
    <row r="932">
      <c r="A932" s="26"/>
      <c r="B932" s="27"/>
      <c r="I932" s="27"/>
    </row>
    <row r="933">
      <c r="A933" s="26"/>
      <c r="B933" s="27"/>
      <c r="I933" s="27"/>
    </row>
    <row r="934">
      <c r="A934" s="26"/>
      <c r="B934" s="27"/>
      <c r="I934" s="27"/>
    </row>
    <row r="935">
      <c r="A935" s="26"/>
      <c r="B935" s="27"/>
      <c r="I935" s="27"/>
    </row>
    <row r="936">
      <c r="A936" s="26"/>
      <c r="B936" s="27"/>
      <c r="I936" s="27"/>
    </row>
    <row r="937">
      <c r="A937" s="26"/>
      <c r="B937" s="27"/>
      <c r="I937" s="27"/>
    </row>
    <row r="938">
      <c r="A938" s="26"/>
      <c r="B938" s="27"/>
      <c r="I938" s="27"/>
    </row>
    <row r="939">
      <c r="A939" s="26"/>
      <c r="B939" s="27"/>
      <c r="I939" s="27"/>
    </row>
    <row r="940">
      <c r="A940" s="26"/>
      <c r="B940" s="27"/>
      <c r="I940" s="27"/>
    </row>
    <row r="941">
      <c r="A941" s="26"/>
      <c r="B941" s="27"/>
      <c r="I941" s="27"/>
    </row>
    <row r="942">
      <c r="A942" s="26"/>
      <c r="B942" s="27"/>
      <c r="I942" s="27"/>
    </row>
    <row r="943">
      <c r="A943" s="26"/>
      <c r="B943" s="27"/>
      <c r="I943" s="27"/>
    </row>
    <row r="944">
      <c r="A944" s="26"/>
      <c r="B944" s="27"/>
      <c r="I944" s="27"/>
    </row>
    <row r="945">
      <c r="A945" s="26"/>
      <c r="B945" s="27"/>
      <c r="I945" s="27"/>
    </row>
    <row r="946">
      <c r="A946" s="26"/>
      <c r="B946" s="27"/>
      <c r="I946" s="27"/>
    </row>
    <row r="947">
      <c r="A947" s="26"/>
      <c r="B947" s="27"/>
      <c r="I947" s="27"/>
    </row>
    <row r="948">
      <c r="A948" s="26"/>
      <c r="B948" s="27"/>
      <c r="I948" s="27"/>
    </row>
    <row r="949">
      <c r="A949" s="26"/>
      <c r="B949" s="27"/>
      <c r="I949" s="27"/>
    </row>
    <row r="950">
      <c r="A950" s="26"/>
      <c r="B950" s="27"/>
      <c r="I950" s="27"/>
    </row>
    <row r="951">
      <c r="A951" s="26"/>
      <c r="B951" s="27"/>
      <c r="I951" s="27"/>
    </row>
    <row r="952">
      <c r="A952" s="26"/>
      <c r="B952" s="27"/>
      <c r="I952" s="27"/>
    </row>
    <row r="953">
      <c r="A953" s="26"/>
      <c r="B953" s="27"/>
      <c r="I953" s="27"/>
    </row>
    <row r="954">
      <c r="A954" s="26"/>
      <c r="B954" s="27"/>
      <c r="I954" s="27"/>
    </row>
    <row r="955">
      <c r="A955" s="26"/>
      <c r="B955" s="27"/>
      <c r="I955" s="27"/>
    </row>
    <row r="956">
      <c r="A956" s="26"/>
      <c r="B956" s="27"/>
      <c r="I956" s="27"/>
    </row>
    <row r="957">
      <c r="A957" s="26"/>
      <c r="B957" s="27"/>
      <c r="I957" s="27"/>
    </row>
    <row r="958">
      <c r="A958" s="26"/>
      <c r="B958" s="27"/>
      <c r="I958" s="27"/>
    </row>
    <row r="959">
      <c r="A959" s="26"/>
      <c r="B959" s="27"/>
      <c r="I959" s="27"/>
    </row>
    <row r="960">
      <c r="A960" s="26"/>
      <c r="B960" s="27"/>
      <c r="I960" s="27"/>
    </row>
    <row r="961">
      <c r="A961" s="26"/>
      <c r="B961" s="27"/>
      <c r="I961" s="27"/>
    </row>
    <row r="962">
      <c r="A962" s="26"/>
      <c r="B962" s="27"/>
      <c r="I962" s="27"/>
    </row>
    <row r="963">
      <c r="A963" s="26"/>
      <c r="B963" s="27"/>
      <c r="I963" s="27"/>
    </row>
    <row r="964">
      <c r="A964" s="26"/>
      <c r="B964" s="27"/>
      <c r="I964" s="27"/>
    </row>
    <row r="965">
      <c r="A965" s="26"/>
      <c r="B965" s="27"/>
      <c r="I965" s="27"/>
    </row>
    <row r="966">
      <c r="A966" s="26"/>
      <c r="B966" s="27"/>
      <c r="I966" s="27"/>
    </row>
    <row r="967">
      <c r="A967" s="26"/>
      <c r="B967" s="27"/>
      <c r="I967" s="27"/>
    </row>
    <row r="968">
      <c r="A968" s="26"/>
      <c r="B968" s="27"/>
      <c r="I968" s="27"/>
    </row>
    <row r="969">
      <c r="A969" s="26"/>
      <c r="B969" s="27"/>
      <c r="I969" s="27"/>
    </row>
    <row r="970">
      <c r="A970" s="26"/>
      <c r="B970" s="27"/>
      <c r="I970" s="27"/>
    </row>
    <row r="971">
      <c r="A971" s="26"/>
      <c r="B971" s="27"/>
      <c r="I971" s="27"/>
    </row>
    <row r="972">
      <c r="A972" s="26"/>
      <c r="B972" s="27"/>
      <c r="I972" s="27"/>
    </row>
    <row r="973">
      <c r="A973" s="26"/>
      <c r="B973" s="27"/>
      <c r="I973" s="27"/>
    </row>
    <row r="974">
      <c r="A974" s="26"/>
      <c r="B974" s="27"/>
      <c r="I974" s="27"/>
    </row>
    <row r="975">
      <c r="A975" s="26"/>
      <c r="B975" s="27"/>
      <c r="I975" s="27"/>
    </row>
    <row r="976">
      <c r="A976" s="26"/>
      <c r="B976" s="27"/>
      <c r="I976" s="27"/>
    </row>
    <row r="977">
      <c r="A977" s="26"/>
      <c r="B977" s="27"/>
      <c r="I977" s="27"/>
    </row>
    <row r="978">
      <c r="A978" s="26"/>
      <c r="B978" s="27"/>
      <c r="I978" s="27"/>
    </row>
    <row r="979">
      <c r="A979" s="26"/>
      <c r="B979" s="27"/>
      <c r="I979" s="27"/>
    </row>
    <row r="980">
      <c r="A980" s="26"/>
      <c r="B980" s="27"/>
      <c r="I980" s="27"/>
    </row>
    <row r="981">
      <c r="A981" s="26"/>
      <c r="B981" s="27"/>
      <c r="I981" s="27"/>
    </row>
    <row r="982">
      <c r="A982" s="26"/>
      <c r="B982" s="27"/>
      <c r="I982" s="27"/>
    </row>
    <row r="983">
      <c r="A983" s="26"/>
      <c r="B983" s="27"/>
      <c r="I983" s="27"/>
    </row>
    <row r="984">
      <c r="A984" s="26"/>
      <c r="B984" s="27"/>
      <c r="I984" s="27"/>
    </row>
    <row r="985">
      <c r="A985" s="26"/>
      <c r="B985" s="27"/>
      <c r="I985" s="27"/>
    </row>
    <row r="986">
      <c r="A986" s="26"/>
      <c r="B986" s="27"/>
      <c r="I986" s="27"/>
    </row>
    <row r="987">
      <c r="A987" s="26"/>
      <c r="B987" s="27"/>
      <c r="I987" s="27"/>
    </row>
    <row r="988">
      <c r="A988" s="26"/>
      <c r="B988" s="27"/>
      <c r="I988" s="27"/>
    </row>
    <row r="989">
      <c r="A989" s="26"/>
      <c r="B989" s="27"/>
      <c r="I989" s="27"/>
    </row>
    <row r="990">
      <c r="A990" s="26"/>
      <c r="B990" s="27"/>
      <c r="I990" s="27"/>
    </row>
    <row r="991">
      <c r="A991" s="26"/>
      <c r="B991" s="27"/>
      <c r="I991" s="27"/>
    </row>
    <row r="992">
      <c r="A992" s="26"/>
      <c r="B992" s="27"/>
      <c r="I992" s="27"/>
    </row>
    <row r="993">
      <c r="A993" s="26"/>
      <c r="B993" s="27"/>
      <c r="I993" s="27"/>
    </row>
    <row r="994">
      <c r="A994" s="26"/>
      <c r="B994" s="27"/>
      <c r="I994" s="27"/>
    </row>
    <row r="995">
      <c r="A995" s="26"/>
      <c r="B995" s="27"/>
      <c r="I995" s="27"/>
    </row>
    <row r="996">
      <c r="A996" s="26"/>
      <c r="B996" s="27"/>
      <c r="I996" s="27"/>
    </row>
    <row r="997">
      <c r="A997" s="26"/>
      <c r="B997" s="27"/>
      <c r="I997" s="27"/>
    </row>
    <row r="998">
      <c r="A998" s="26"/>
      <c r="B998" s="27"/>
      <c r="I998" s="27"/>
    </row>
    <row r="999">
      <c r="A999" s="26"/>
      <c r="B999" s="27"/>
      <c r="I999" s="27"/>
    </row>
    <row r="1000">
      <c r="A1000" s="26"/>
      <c r="B1000" s="27"/>
      <c r="I1000" s="27"/>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6.38"/>
  </cols>
  <sheetData>
    <row r="1">
      <c r="A1" s="53" t="s">
        <v>41</v>
      </c>
      <c r="B1" s="44" t="s">
        <v>478</v>
      </c>
      <c r="C1" s="43"/>
      <c r="D1" s="43"/>
      <c r="E1" s="43"/>
      <c r="F1" s="43"/>
      <c r="G1" s="43"/>
      <c r="H1" s="43"/>
      <c r="I1" s="43"/>
      <c r="J1" s="43"/>
      <c r="K1" s="43"/>
      <c r="L1" s="43"/>
      <c r="M1" s="43"/>
      <c r="N1" s="43"/>
      <c r="O1" s="43"/>
      <c r="P1" s="43"/>
      <c r="Q1" s="43"/>
      <c r="R1" s="43"/>
      <c r="S1" s="43"/>
      <c r="T1" s="43"/>
      <c r="U1" s="43"/>
      <c r="V1" s="43"/>
      <c r="W1" s="43"/>
      <c r="X1" s="43"/>
      <c r="Y1" s="43"/>
      <c r="Z1" s="43"/>
    </row>
    <row r="2" ht="37.5" customHeight="1">
      <c r="A2" s="54" t="s">
        <v>232</v>
      </c>
      <c r="B2" s="43"/>
      <c r="C2" s="43"/>
      <c r="D2" s="43"/>
      <c r="E2" s="43"/>
      <c r="F2" s="43"/>
      <c r="G2" s="43"/>
      <c r="H2" s="43"/>
      <c r="I2" s="43"/>
      <c r="J2" s="43"/>
      <c r="K2" s="43"/>
      <c r="L2" s="43"/>
      <c r="M2" s="43"/>
      <c r="N2" s="43"/>
      <c r="O2" s="43"/>
      <c r="P2" s="43"/>
      <c r="Q2" s="43"/>
      <c r="R2" s="43"/>
      <c r="S2" s="43"/>
      <c r="T2" s="43"/>
      <c r="U2" s="43"/>
      <c r="V2" s="43"/>
      <c r="W2" s="43"/>
      <c r="X2" s="43"/>
      <c r="Y2" s="43"/>
      <c r="Z2" s="43"/>
    </row>
    <row r="3" ht="37.5" customHeight="1">
      <c r="A3" s="54" t="s">
        <v>227</v>
      </c>
      <c r="B3" s="43"/>
      <c r="C3" s="43"/>
      <c r="D3" s="43"/>
      <c r="E3" s="43"/>
      <c r="F3" s="43"/>
      <c r="G3" s="43"/>
      <c r="H3" s="43"/>
      <c r="I3" s="43"/>
      <c r="J3" s="43"/>
      <c r="K3" s="43"/>
      <c r="L3" s="43"/>
      <c r="M3" s="43"/>
      <c r="N3" s="43"/>
      <c r="O3" s="43"/>
      <c r="P3" s="43"/>
      <c r="Q3" s="43"/>
      <c r="R3" s="43"/>
      <c r="S3" s="43"/>
      <c r="T3" s="43"/>
      <c r="U3" s="43"/>
      <c r="V3" s="43"/>
      <c r="W3" s="43"/>
      <c r="X3" s="43"/>
      <c r="Y3" s="43"/>
      <c r="Z3" s="43"/>
    </row>
    <row r="4" ht="37.5" customHeight="1">
      <c r="A4" s="54" t="s">
        <v>223</v>
      </c>
      <c r="B4" s="43"/>
      <c r="C4" s="43"/>
      <c r="D4" s="43"/>
      <c r="E4" s="43"/>
      <c r="F4" s="43"/>
      <c r="G4" s="43"/>
      <c r="H4" s="43"/>
      <c r="I4" s="43"/>
      <c r="J4" s="43"/>
      <c r="K4" s="43"/>
      <c r="L4" s="43"/>
      <c r="M4" s="43"/>
      <c r="N4" s="43"/>
      <c r="O4" s="43"/>
      <c r="P4" s="43"/>
      <c r="Q4" s="43"/>
      <c r="R4" s="43"/>
      <c r="S4" s="43"/>
      <c r="T4" s="43"/>
      <c r="U4" s="43"/>
      <c r="V4" s="43"/>
      <c r="W4" s="43"/>
      <c r="X4" s="43"/>
      <c r="Y4" s="43"/>
      <c r="Z4" s="43"/>
    </row>
    <row r="5" ht="37.5" customHeight="1">
      <c r="A5" s="54" t="s">
        <v>216</v>
      </c>
      <c r="B5" s="43"/>
      <c r="C5" s="43"/>
      <c r="D5" s="43"/>
      <c r="E5" s="43"/>
      <c r="F5" s="43"/>
      <c r="G5" s="43"/>
      <c r="H5" s="43"/>
      <c r="I5" s="43"/>
      <c r="J5" s="43"/>
      <c r="K5" s="43"/>
      <c r="L5" s="43"/>
      <c r="M5" s="43"/>
      <c r="N5" s="43"/>
      <c r="O5" s="43"/>
      <c r="P5" s="43"/>
      <c r="Q5" s="43"/>
      <c r="R5" s="43"/>
      <c r="S5" s="43"/>
      <c r="T5" s="43"/>
      <c r="U5" s="43"/>
      <c r="V5" s="43"/>
      <c r="W5" s="43"/>
      <c r="X5" s="43"/>
      <c r="Y5" s="43"/>
      <c r="Z5" s="43"/>
    </row>
    <row r="6" ht="37.5" customHeight="1">
      <c r="A6" s="54" t="s">
        <v>236</v>
      </c>
      <c r="B6" s="43"/>
      <c r="C6" s="43"/>
      <c r="D6" s="43"/>
      <c r="E6" s="43"/>
      <c r="F6" s="43"/>
      <c r="G6" s="43"/>
      <c r="H6" s="43"/>
      <c r="I6" s="43"/>
      <c r="J6" s="43"/>
      <c r="K6" s="43"/>
      <c r="L6" s="43"/>
      <c r="M6" s="43"/>
      <c r="N6" s="43"/>
      <c r="O6" s="43"/>
      <c r="P6" s="43"/>
      <c r="Q6" s="43"/>
      <c r="R6" s="43"/>
      <c r="S6" s="43"/>
      <c r="T6" s="43"/>
      <c r="U6" s="43"/>
      <c r="V6" s="43"/>
      <c r="W6" s="43"/>
      <c r="X6" s="43"/>
      <c r="Y6" s="43"/>
      <c r="Z6" s="43"/>
    </row>
    <row r="7" ht="37.5" customHeight="1">
      <c r="A7" s="54" t="s">
        <v>225</v>
      </c>
      <c r="B7" s="43"/>
      <c r="C7" s="43"/>
      <c r="D7" s="43"/>
      <c r="E7" s="43"/>
      <c r="F7" s="43"/>
      <c r="G7" s="43"/>
      <c r="H7" s="43"/>
      <c r="I7" s="43"/>
      <c r="J7" s="43"/>
      <c r="K7" s="43"/>
      <c r="L7" s="43"/>
      <c r="M7" s="43"/>
      <c r="N7" s="43"/>
      <c r="O7" s="43"/>
      <c r="P7" s="43"/>
      <c r="Q7" s="43"/>
      <c r="R7" s="43"/>
      <c r="S7" s="43"/>
      <c r="T7" s="43"/>
      <c r="U7" s="43"/>
      <c r="V7" s="43"/>
      <c r="W7" s="43"/>
      <c r="X7" s="43"/>
      <c r="Y7" s="43"/>
      <c r="Z7" s="43"/>
    </row>
    <row r="8" ht="37.5" customHeight="1">
      <c r="A8" s="54" t="s">
        <v>224</v>
      </c>
      <c r="B8" s="43"/>
      <c r="C8" s="43"/>
      <c r="D8" s="43"/>
      <c r="E8" s="43"/>
      <c r="F8" s="43"/>
      <c r="G8" s="43"/>
      <c r="H8" s="43"/>
      <c r="I8" s="43"/>
      <c r="J8" s="43"/>
      <c r="K8" s="43"/>
      <c r="L8" s="43"/>
      <c r="M8" s="43"/>
      <c r="N8" s="43"/>
      <c r="O8" s="43"/>
      <c r="P8" s="43"/>
      <c r="Q8" s="43"/>
      <c r="R8" s="43"/>
      <c r="S8" s="43"/>
      <c r="T8" s="43"/>
      <c r="U8" s="43"/>
      <c r="V8" s="43"/>
      <c r="W8" s="43"/>
      <c r="X8" s="43"/>
      <c r="Y8" s="43"/>
      <c r="Z8" s="43"/>
    </row>
    <row r="9" ht="37.5" customHeight="1">
      <c r="A9" s="54" t="s">
        <v>215</v>
      </c>
      <c r="B9" s="43"/>
      <c r="C9" s="43"/>
      <c r="D9" s="43"/>
      <c r="E9" s="43"/>
      <c r="F9" s="43"/>
      <c r="G9" s="43"/>
      <c r="H9" s="43"/>
      <c r="I9" s="43"/>
      <c r="J9" s="43"/>
      <c r="K9" s="43"/>
      <c r="L9" s="43"/>
      <c r="M9" s="43"/>
      <c r="N9" s="43"/>
      <c r="O9" s="43"/>
      <c r="P9" s="43"/>
      <c r="Q9" s="43"/>
      <c r="R9" s="43"/>
      <c r="S9" s="43"/>
      <c r="T9" s="43"/>
      <c r="U9" s="43"/>
      <c r="V9" s="43"/>
      <c r="W9" s="43"/>
      <c r="X9" s="43"/>
      <c r="Y9" s="43"/>
      <c r="Z9" s="43"/>
    </row>
    <row r="10" ht="37.5" customHeight="1">
      <c r="A10" s="54" t="s">
        <v>230</v>
      </c>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ht="37.5" customHeight="1">
      <c r="A11" s="54" t="s">
        <v>111</v>
      </c>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ht="37.5" customHeight="1">
      <c r="A12" s="54" t="s">
        <v>50</v>
      </c>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ht="37.5" customHeight="1">
      <c r="A13" s="54" t="s">
        <v>229</v>
      </c>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ht="37.5" customHeight="1">
      <c r="A14" s="54" t="s">
        <v>220</v>
      </c>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ht="37.5" customHeight="1">
      <c r="A15" s="54" t="s">
        <v>233</v>
      </c>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ht="37.5" customHeight="1">
      <c r="A16" s="54" t="s">
        <v>239</v>
      </c>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ht="37.5" customHeight="1">
      <c r="A17" s="54" t="s">
        <v>234</v>
      </c>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ht="37.5" customHeight="1">
      <c r="A18" s="54" t="s">
        <v>231</v>
      </c>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ht="37.5" customHeight="1">
      <c r="A19" s="54" t="s">
        <v>237</v>
      </c>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ht="37.5" customHeight="1">
      <c r="A20" s="54" t="s">
        <v>226</v>
      </c>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ht="37.5" customHeight="1">
      <c r="A21" s="54" t="s">
        <v>54</v>
      </c>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ht="37.5" customHeight="1">
      <c r="A22" s="54" t="s">
        <v>228</v>
      </c>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37.5" customHeight="1">
      <c r="A23" s="54" t="s">
        <v>222</v>
      </c>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37.5" customHeight="1">
      <c r="A24" s="54" t="s">
        <v>218</v>
      </c>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37.5" customHeight="1">
      <c r="A25" s="54" t="s">
        <v>235</v>
      </c>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37.5" customHeight="1">
      <c r="A26" s="54" t="s">
        <v>469</v>
      </c>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37.5" customHeight="1">
      <c r="A27" s="54" t="s">
        <v>334</v>
      </c>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37.5" customHeight="1">
      <c r="A28" s="54" t="s">
        <v>439</v>
      </c>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37.5" customHeight="1">
      <c r="A29" s="54" t="s">
        <v>429</v>
      </c>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37.5" customHeight="1">
      <c r="A30" s="54" t="s">
        <v>455</v>
      </c>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37.5" customHeight="1">
      <c r="A31" s="54" t="s">
        <v>129</v>
      </c>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37.5" customHeight="1">
      <c r="A32" s="54" t="s">
        <v>470</v>
      </c>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37.5" customHeight="1">
      <c r="A33" s="54" t="s">
        <v>172</v>
      </c>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37.5" customHeight="1">
      <c r="A34" s="54" t="s">
        <v>471</v>
      </c>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37.5" customHeight="1">
      <c r="A35" s="54" t="s">
        <v>456</v>
      </c>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37.5" customHeight="1">
      <c r="A36" s="54" t="s">
        <v>466</v>
      </c>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37.5" customHeight="1">
      <c r="A37" s="54" t="s">
        <v>431</v>
      </c>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37.5" customHeight="1">
      <c r="A38" s="54" t="s">
        <v>100</v>
      </c>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37.5" customHeight="1">
      <c r="A39" s="54" t="s">
        <v>259</v>
      </c>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37.5" customHeight="1">
      <c r="A40" s="54" t="s">
        <v>476</v>
      </c>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37.5" customHeight="1">
      <c r="A41" s="54" t="s">
        <v>472</v>
      </c>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37.5" customHeight="1">
      <c r="A42" s="54" t="s">
        <v>465</v>
      </c>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37.5" customHeight="1">
      <c r="A43" s="54" t="s">
        <v>273</v>
      </c>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37.5" customHeight="1">
      <c r="A44" s="54" t="s">
        <v>445</v>
      </c>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37.5" customHeight="1">
      <c r="A45" s="54" t="s">
        <v>467</v>
      </c>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37.5" customHeight="1">
      <c r="A46" s="54" t="s">
        <v>473</v>
      </c>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37.5" customHeight="1">
      <c r="A47" s="54" t="s">
        <v>426</v>
      </c>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37.5" customHeight="1">
      <c r="A48" s="54" t="s">
        <v>459</v>
      </c>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37.5" customHeight="1">
      <c r="A49" s="54" t="s">
        <v>310</v>
      </c>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37.5" customHeight="1">
      <c r="A50" s="54" t="s">
        <v>458</v>
      </c>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37.5" customHeight="1">
      <c r="A51" s="54" t="s">
        <v>468</v>
      </c>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37.5" customHeight="1">
      <c r="A52" s="54" t="s">
        <v>244</v>
      </c>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37.5" customHeight="1">
      <c r="A53" s="54" t="s">
        <v>394</v>
      </c>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37.5" customHeight="1">
      <c r="A54" s="54" t="s">
        <v>444</v>
      </c>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37.5" customHeight="1">
      <c r="A55" s="54" t="s">
        <v>425</v>
      </c>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37.5" customHeight="1">
      <c r="A56" s="54" t="s">
        <v>447</v>
      </c>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37.5" customHeight="1">
      <c r="A57" s="54" t="s">
        <v>457</v>
      </c>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37.5" customHeight="1">
      <c r="A58" s="54" t="s">
        <v>446</v>
      </c>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37.5" customHeight="1">
      <c r="A59" s="54" t="s">
        <v>464</v>
      </c>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37.5" customHeight="1">
      <c r="A60" s="54" t="s">
        <v>448</v>
      </c>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37.5" customHeight="1">
      <c r="A61" s="54" t="s">
        <v>454</v>
      </c>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37.5" customHeight="1">
      <c r="A62" s="54" t="s">
        <v>441</v>
      </c>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37.5" customHeight="1">
      <c r="A63" s="54" t="s">
        <v>442</v>
      </c>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37.5" customHeight="1">
      <c r="A64" s="54" t="s">
        <v>463</v>
      </c>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37.5" customHeight="1">
      <c r="A65" s="54" t="s">
        <v>461</v>
      </c>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37.5" customHeight="1">
      <c r="A66" s="54" t="s">
        <v>452</v>
      </c>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37.5" customHeight="1">
      <c r="A67" s="54" t="s">
        <v>460</v>
      </c>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37.5" customHeight="1">
      <c r="A68" s="54" t="s">
        <v>391</v>
      </c>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37.5" customHeight="1">
      <c r="A69" s="54" t="s">
        <v>399</v>
      </c>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37.5" customHeight="1">
      <c r="A70" s="54" t="s">
        <v>450</v>
      </c>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37.5" customHeight="1">
      <c r="A71" s="54" t="s">
        <v>343</v>
      </c>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37.5" customHeight="1">
      <c r="A72" s="54" t="s">
        <v>443</v>
      </c>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37.5" customHeight="1">
      <c r="A73" s="54" t="s">
        <v>451</v>
      </c>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37.5" customHeight="1">
      <c r="A74" s="54" t="s">
        <v>101</v>
      </c>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37.5" customHeight="1">
      <c r="A75" s="54" t="s">
        <v>385</v>
      </c>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37.5" customHeight="1">
      <c r="A76" s="54" t="s">
        <v>424</v>
      </c>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37.5" customHeight="1">
      <c r="A77" s="54" t="s">
        <v>449</v>
      </c>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37.5" customHeight="1">
      <c r="A78" s="54" t="s">
        <v>474</v>
      </c>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37.5" customHeight="1">
      <c r="A79" s="54" t="s">
        <v>440</v>
      </c>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37.5" customHeight="1">
      <c r="A80" s="54" t="s">
        <v>475</v>
      </c>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37.5" customHeight="1">
      <c r="A81" s="54" t="s">
        <v>89</v>
      </c>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37.5" customHeight="1">
      <c r="A82" s="54" t="s">
        <v>261</v>
      </c>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37.5" customHeight="1">
      <c r="A83" s="54" t="s">
        <v>477</v>
      </c>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37.5" customHeight="1">
      <c r="A84" s="54" t="s">
        <v>335</v>
      </c>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37.5" customHeight="1">
      <c r="A85" s="54" t="s">
        <v>151</v>
      </c>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37.5" customHeight="1">
      <c r="A86" s="54" t="s">
        <v>298</v>
      </c>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37.5" customHeight="1">
      <c r="A87" s="54" t="s">
        <v>308</v>
      </c>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37.5" customHeight="1">
      <c r="A88" s="54" t="s">
        <v>268</v>
      </c>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37.5" customHeight="1">
      <c r="A89" s="54" t="s">
        <v>299</v>
      </c>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37.5" customHeight="1">
      <c r="A90" s="54" t="s">
        <v>287</v>
      </c>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37.5" customHeight="1">
      <c r="A91" s="54" t="s">
        <v>303</v>
      </c>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37.5" customHeight="1">
      <c r="A92" s="54" t="s">
        <v>304</v>
      </c>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37.5" customHeight="1">
      <c r="A93" s="54" t="s">
        <v>316</v>
      </c>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37.5" customHeight="1">
      <c r="A94" s="54" t="s">
        <v>293</v>
      </c>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37.5" customHeight="1">
      <c r="A95" s="54" t="s">
        <v>292</v>
      </c>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37.5" customHeight="1">
      <c r="A96" s="54" t="s">
        <v>191</v>
      </c>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37.5" customHeight="1">
      <c r="A97" s="54" t="s">
        <v>296</v>
      </c>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37.5" customHeight="1">
      <c r="A98" s="54" t="s">
        <v>295</v>
      </c>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37.5" customHeight="1">
      <c r="A99" s="54" t="s">
        <v>307</v>
      </c>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37.5" customHeight="1">
      <c r="A100" s="54" t="s">
        <v>309</v>
      </c>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37.5" customHeight="1">
      <c r="A101" s="54" t="s">
        <v>313</v>
      </c>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37.5" customHeight="1">
      <c r="A102" s="54" t="s">
        <v>315</v>
      </c>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37.5" customHeight="1">
      <c r="A103" s="54" t="s">
        <v>294</v>
      </c>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37.5" customHeight="1">
      <c r="A104" s="54" t="s">
        <v>253</v>
      </c>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37.5" customHeight="1">
      <c r="A105" s="54" t="s">
        <v>301</v>
      </c>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37.5" customHeight="1">
      <c r="A106" s="54" t="s">
        <v>190</v>
      </c>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37.5" customHeight="1">
      <c r="A107" s="54" t="s">
        <v>297</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37.5" customHeight="1">
      <c r="A108" s="54" t="s">
        <v>300</v>
      </c>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37.5" customHeight="1">
      <c r="A109" s="54" t="s">
        <v>86</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37.5" customHeight="1">
      <c r="A110" s="54" t="s">
        <v>306</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37.5" customHeight="1">
      <c r="A111" s="54" t="s">
        <v>279</v>
      </c>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37.5" customHeight="1">
      <c r="A112" s="54" t="s">
        <v>275</v>
      </c>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37.5" customHeight="1">
      <c r="A113" s="54" t="s">
        <v>272</v>
      </c>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37.5" customHeight="1">
      <c r="A114" s="54" t="s">
        <v>479</v>
      </c>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37.5" customHeight="1">
      <c r="A115" s="54" t="s">
        <v>480</v>
      </c>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37.5" customHeight="1">
      <c r="A116" s="54" t="s">
        <v>481</v>
      </c>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37.5" customHeight="1">
      <c r="A117" s="54" t="s">
        <v>242</v>
      </c>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37.5" customHeight="1">
      <c r="A118" s="54" t="s">
        <v>311</v>
      </c>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37.5" customHeight="1">
      <c r="A119" s="54" t="s">
        <v>88</v>
      </c>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37.5" customHeight="1">
      <c r="A120" s="54" t="s">
        <v>317</v>
      </c>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37.5" customHeight="1">
      <c r="A121" s="54" t="s">
        <v>286</v>
      </c>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37.5" customHeight="1">
      <c r="A122" s="54" t="s">
        <v>314</v>
      </c>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37.5" customHeight="1">
      <c r="A123" s="54" t="s">
        <v>290</v>
      </c>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37.5" customHeight="1">
      <c r="A124" s="54" t="s">
        <v>302</v>
      </c>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37.5" customHeight="1">
      <c r="A125" s="54" t="s">
        <v>288</v>
      </c>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37.5" customHeight="1">
      <c r="A126" s="54" t="s">
        <v>312</v>
      </c>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37.5" customHeight="1">
      <c r="A127" s="54" t="s">
        <v>285</v>
      </c>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37.5" customHeight="1">
      <c r="A128" s="54" t="s">
        <v>305</v>
      </c>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37.5" customHeight="1">
      <c r="A129" s="54" t="s">
        <v>289</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37.5" customHeight="1">
      <c r="A130" s="54" t="s">
        <v>291</v>
      </c>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37.5" customHeight="1">
      <c r="A131" s="54" t="s">
        <v>169</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37.5" customHeight="1">
      <c r="A132" s="54" t="s">
        <v>123</v>
      </c>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37.5" customHeight="1">
      <c r="A133" s="54" t="s">
        <v>130</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37.5" customHeight="1">
      <c r="A134" s="54" t="s">
        <v>118</v>
      </c>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37.5" customHeight="1">
      <c r="A135" s="54" t="s">
        <v>122</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37.5" customHeight="1">
      <c r="A136" s="54" t="s">
        <v>110</v>
      </c>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37.5" customHeight="1">
      <c r="A137" s="54" t="s">
        <v>128</v>
      </c>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37.5" customHeight="1">
      <c r="A138" s="54" t="s">
        <v>108</v>
      </c>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37.5" customHeight="1">
      <c r="A139" s="54" t="s">
        <v>119</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37.5" customHeight="1">
      <c r="A140" s="54" t="s">
        <v>127</v>
      </c>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37.5" customHeight="1">
      <c r="A141" s="54" t="s">
        <v>136</v>
      </c>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37.5" customHeight="1">
      <c r="A142" s="54" t="s">
        <v>124</v>
      </c>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37.5" customHeight="1">
      <c r="A143" s="54" t="s">
        <v>132</v>
      </c>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37.5" customHeight="1">
      <c r="A144" s="54" t="s">
        <v>126</v>
      </c>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37.5" customHeight="1">
      <c r="A145" s="54" t="s">
        <v>134</v>
      </c>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37.5" customHeight="1">
      <c r="A146" s="54" t="s">
        <v>125</v>
      </c>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37.5" customHeight="1">
      <c r="A147" s="54" t="s">
        <v>114</v>
      </c>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37.5" customHeight="1">
      <c r="A148" s="54" t="s">
        <v>116</v>
      </c>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37.5" customHeight="1">
      <c r="A149" s="54" t="s">
        <v>107</v>
      </c>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37.5" customHeight="1">
      <c r="A150" s="54" t="s">
        <v>112</v>
      </c>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37.5" customHeight="1">
      <c r="A151" s="54" t="s">
        <v>109</v>
      </c>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37.5" customHeight="1">
      <c r="A152" s="54" t="s">
        <v>59</v>
      </c>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37.5" customHeight="1">
      <c r="A153" s="54" t="s">
        <v>85</v>
      </c>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37.5" customHeight="1">
      <c r="A154" s="54" t="s">
        <v>71</v>
      </c>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37.5" customHeight="1">
      <c r="A155" s="54" t="s">
        <v>104</v>
      </c>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37.5" customHeight="1">
      <c r="A156" s="54" t="s">
        <v>93</v>
      </c>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37.5" customHeight="1">
      <c r="A157" s="54" t="s">
        <v>76</v>
      </c>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37.5" customHeight="1">
      <c r="A158" s="54" t="s">
        <v>74</v>
      </c>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37.5" customHeight="1">
      <c r="A159" s="54" t="s">
        <v>64</v>
      </c>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37.5" customHeight="1">
      <c r="A160" s="54" t="s">
        <v>81</v>
      </c>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37.5" customHeight="1">
      <c r="A161" s="54" t="s">
        <v>68</v>
      </c>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37.5" customHeight="1">
      <c r="A162" s="54" t="s">
        <v>83</v>
      </c>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37.5" customHeight="1">
      <c r="A163" s="54" t="s">
        <v>60</v>
      </c>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37.5" customHeight="1">
      <c r="A164" s="54" t="s">
        <v>91</v>
      </c>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37.5" customHeight="1">
      <c r="A165" s="54" t="s">
        <v>96</v>
      </c>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37.5" customHeight="1">
      <c r="A166" s="54" t="s">
        <v>95</v>
      </c>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37.5" customHeight="1">
      <c r="A167" s="54" t="s">
        <v>66</v>
      </c>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37.5" customHeight="1">
      <c r="A168" s="54" t="s">
        <v>98</v>
      </c>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37.5" customHeight="1">
      <c r="A169" s="54" t="s">
        <v>70</v>
      </c>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37.5" customHeight="1">
      <c r="A170" s="54" t="s">
        <v>57</v>
      </c>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37.5" customHeight="1">
      <c r="A171" s="54" t="s">
        <v>97</v>
      </c>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37.5" customHeight="1">
      <c r="A172" s="54" t="s">
        <v>72</v>
      </c>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37.5" customHeight="1">
      <c r="A173" s="54" t="s">
        <v>62</v>
      </c>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37.5" customHeight="1">
      <c r="A174" s="54" t="s">
        <v>78</v>
      </c>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37.5" customHeight="1">
      <c r="A175" s="54" t="s">
        <v>79</v>
      </c>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37.5" customHeight="1">
      <c r="A176" s="54" t="s">
        <v>102</v>
      </c>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37.5" customHeight="1">
      <c r="A177" s="54" t="s">
        <v>105</v>
      </c>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37.5" customHeight="1">
      <c r="A178" s="54" t="s">
        <v>52</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37.5" customHeight="1">
      <c r="A179" s="54" t="s">
        <v>146</v>
      </c>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37.5" customHeight="1">
      <c r="A180" s="54" t="s">
        <v>141</v>
      </c>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37.5" customHeight="1">
      <c r="A181" s="54" t="s">
        <v>142</v>
      </c>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37.5" customHeight="1">
      <c r="A182" s="54" t="s">
        <v>149</v>
      </c>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37.5" customHeight="1">
      <c r="A183" s="54" t="s">
        <v>147</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37.5" customHeight="1">
      <c r="A184" s="54" t="s">
        <v>144</v>
      </c>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37.5" customHeight="1">
      <c r="A185" s="54" t="s">
        <v>148</v>
      </c>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37.5" customHeight="1">
      <c r="A186" s="54" t="s">
        <v>482</v>
      </c>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37.5" customHeight="1">
      <c r="A187" s="54" t="s">
        <v>150</v>
      </c>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37.5" customHeight="1">
      <c r="A188" s="54" t="s">
        <v>143</v>
      </c>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37.5" customHeight="1">
      <c r="A189" s="54" t="s">
        <v>161</v>
      </c>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37.5" customHeight="1">
      <c r="A190" s="54" t="s">
        <v>167</v>
      </c>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37.5" customHeight="1">
      <c r="A191" s="54" t="s">
        <v>157</v>
      </c>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37.5" customHeight="1">
      <c r="A192" s="54" t="s">
        <v>166</v>
      </c>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37.5" customHeight="1">
      <c r="A193" s="54" t="s">
        <v>170</v>
      </c>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37.5" customHeight="1">
      <c r="A194" s="54" t="s">
        <v>175</v>
      </c>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37.5" customHeight="1">
      <c r="A195" s="54" t="s">
        <v>160</v>
      </c>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37.5" customHeight="1">
      <c r="A196" s="54" t="s">
        <v>154</v>
      </c>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37.5" customHeight="1">
      <c r="A197" s="54" t="s">
        <v>155</v>
      </c>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37.5" customHeight="1">
      <c r="A198" s="54" t="s">
        <v>171</v>
      </c>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37.5" customHeight="1">
      <c r="A199" s="54" t="s">
        <v>176</v>
      </c>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37.5" customHeight="1">
      <c r="A200" s="54" t="s">
        <v>173</v>
      </c>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37.5" customHeight="1">
      <c r="A201" s="54" t="s">
        <v>153</v>
      </c>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37.5" customHeight="1">
      <c r="A202" s="54" t="s">
        <v>156</v>
      </c>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37.5" customHeight="1">
      <c r="A203" s="54" t="s">
        <v>174</v>
      </c>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37.5" customHeight="1">
      <c r="A204" s="54" t="s">
        <v>158</v>
      </c>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37.5" customHeight="1">
      <c r="A205" s="54" t="s">
        <v>177</v>
      </c>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37.5" customHeight="1">
      <c r="A206" s="54" t="s">
        <v>163</v>
      </c>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37.5" customHeight="1">
      <c r="A207" s="54" t="s">
        <v>164</v>
      </c>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37.5" customHeight="1">
      <c r="A208" s="54" t="s">
        <v>165</v>
      </c>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37.5" customHeight="1">
      <c r="A209" s="54" t="s">
        <v>194</v>
      </c>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37.5" customHeight="1">
      <c r="A210" s="54" t="s">
        <v>192</v>
      </c>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37.5" customHeight="1">
      <c r="A211" s="54" t="s">
        <v>187</v>
      </c>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37.5" customHeight="1">
      <c r="A212" s="54" t="s">
        <v>184</v>
      </c>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37.5" customHeight="1">
      <c r="A213" s="54" t="s">
        <v>193</v>
      </c>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37.5" customHeight="1">
      <c r="A214" s="54" t="s">
        <v>181</v>
      </c>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37.5" customHeight="1">
      <c r="A215" s="54" t="s">
        <v>185</v>
      </c>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37.5" customHeight="1">
      <c r="A216" s="54" t="s">
        <v>186</v>
      </c>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37.5" customHeight="1">
      <c r="A217" s="54" t="s">
        <v>195</v>
      </c>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37.5" customHeight="1">
      <c r="A218" s="54" t="s">
        <v>188</v>
      </c>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37.5" customHeight="1">
      <c r="A219" s="54" t="s">
        <v>183</v>
      </c>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37.5" customHeight="1">
      <c r="A220" s="54" t="s">
        <v>182</v>
      </c>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37.5" customHeight="1">
      <c r="A221" s="54" t="s">
        <v>180</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37.5" customHeight="1">
      <c r="A222" s="54" t="s">
        <v>179</v>
      </c>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ht="37.5" customHeight="1">
      <c r="A223" s="54" t="s">
        <v>240</v>
      </c>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ht="37.5" customHeight="1">
      <c r="A224" s="54" t="s">
        <v>264</v>
      </c>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ht="37.5" customHeight="1">
      <c r="A225" s="54" t="s">
        <v>250</v>
      </c>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37.5" customHeight="1">
      <c r="A226" s="54" t="s">
        <v>243</v>
      </c>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37.5" customHeight="1">
      <c r="A227" s="54" t="s">
        <v>248</v>
      </c>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37.5" customHeight="1">
      <c r="A228" s="54" t="s">
        <v>241</v>
      </c>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37.5" customHeight="1">
      <c r="A229" s="54" t="s">
        <v>263</v>
      </c>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37.5" customHeight="1">
      <c r="A230" s="54" t="s">
        <v>249</v>
      </c>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37.5" customHeight="1">
      <c r="A231" s="54" t="s">
        <v>260</v>
      </c>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37.5" customHeight="1">
      <c r="A232" s="54" t="s">
        <v>262</v>
      </c>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37.5" customHeight="1">
      <c r="A233" s="54" t="s">
        <v>247</v>
      </c>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37.5" customHeight="1">
      <c r="A234" s="54" t="s">
        <v>252</v>
      </c>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37.5" customHeight="1">
      <c r="A235" s="54" t="s">
        <v>246</v>
      </c>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37.5" customHeight="1">
      <c r="A236" s="54" t="s">
        <v>256</v>
      </c>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37.5" customHeight="1">
      <c r="A237" s="54" t="s">
        <v>245</v>
      </c>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37.5" customHeight="1">
      <c r="A238" s="54" t="s">
        <v>257</v>
      </c>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37.5" customHeight="1">
      <c r="A239" s="54" t="s">
        <v>255</v>
      </c>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37.5" customHeight="1">
      <c r="A240" s="54" t="s">
        <v>251</v>
      </c>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37.5" customHeight="1">
      <c r="A241" s="54" t="s">
        <v>258</v>
      </c>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37.5" customHeight="1">
      <c r="A242" s="54" t="s">
        <v>209</v>
      </c>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37.5" customHeight="1">
      <c r="A243" s="54" t="s">
        <v>206</v>
      </c>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37.5" customHeight="1">
      <c r="A244" s="54" t="s">
        <v>210</v>
      </c>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37.5" customHeight="1">
      <c r="A245" s="54" t="s">
        <v>200</v>
      </c>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37.5" customHeight="1">
      <c r="A246" s="54" t="s">
        <v>197</v>
      </c>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37.5" customHeight="1">
      <c r="A247" s="54" t="s">
        <v>205</v>
      </c>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37.5" customHeight="1">
      <c r="A248" s="54" t="s">
        <v>212</v>
      </c>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37.5" customHeight="1">
      <c r="A249" s="54" t="s">
        <v>211</v>
      </c>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37.5" customHeight="1">
      <c r="A250" s="54" t="s">
        <v>207</v>
      </c>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37.5" customHeight="1">
      <c r="A251" s="54" t="s">
        <v>201</v>
      </c>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37.5" customHeight="1">
      <c r="A252" s="54" t="s">
        <v>203</v>
      </c>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37.5" customHeight="1">
      <c r="A253" s="54" t="s">
        <v>198</v>
      </c>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37.5" customHeight="1">
      <c r="A254" s="54" t="s">
        <v>199</v>
      </c>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37.5" customHeight="1">
      <c r="A255" s="54" t="s">
        <v>202</v>
      </c>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37.5" customHeight="1">
      <c r="A256" s="54" t="s">
        <v>204</v>
      </c>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37.5" customHeight="1">
      <c r="A257" s="54" t="s">
        <v>213</v>
      </c>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37.5" customHeight="1">
      <c r="A258" s="54" t="s">
        <v>265</v>
      </c>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37.5" customHeight="1">
      <c r="A259" s="54" t="s">
        <v>283</v>
      </c>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37.5" customHeight="1">
      <c r="A260" s="54" t="s">
        <v>270</v>
      </c>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37.5" customHeight="1">
      <c r="A261" s="54" t="s">
        <v>269</v>
      </c>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37.5" customHeight="1">
      <c r="A262" s="54" t="s">
        <v>483</v>
      </c>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37.5" customHeight="1">
      <c r="A263" s="54" t="s">
        <v>281</v>
      </c>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37.5" customHeight="1">
      <c r="A264" s="54" t="s">
        <v>278</v>
      </c>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37.5" customHeight="1">
      <c r="A265" s="54" t="s">
        <v>271</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37.5" customHeight="1">
      <c r="A266" s="54" t="s">
        <v>238</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37.5" customHeight="1">
      <c r="A267" s="54" t="s">
        <v>267</v>
      </c>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37.5" customHeight="1">
      <c r="A268" s="54" t="s">
        <v>280</v>
      </c>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37.5" customHeight="1">
      <c r="A269" s="54" t="s">
        <v>284</v>
      </c>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37.5" customHeight="1">
      <c r="A270" s="54" t="s">
        <v>274</v>
      </c>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37.5" customHeight="1">
      <c r="A271" s="54" t="s">
        <v>276</v>
      </c>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37.5" customHeight="1">
      <c r="A272" s="54" t="s">
        <v>277</v>
      </c>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37.5" customHeight="1">
      <c r="A273" s="54" t="s">
        <v>266</v>
      </c>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37.5" customHeight="1">
      <c r="A274" s="54" t="s">
        <v>324</v>
      </c>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37.5" customHeight="1">
      <c r="A275" s="54" t="s">
        <v>323</v>
      </c>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37.5" customHeight="1">
      <c r="A276" s="54" t="s">
        <v>325</v>
      </c>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37.5" customHeight="1">
      <c r="A277" s="54" t="s">
        <v>327</v>
      </c>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37.5" customHeight="1">
      <c r="A278" s="54" t="s">
        <v>322</v>
      </c>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37.5" customHeight="1">
      <c r="A279" s="54" t="s">
        <v>330</v>
      </c>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37.5" customHeight="1">
      <c r="A280" s="54" t="s">
        <v>319</v>
      </c>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37.5" customHeight="1">
      <c r="A281" s="54" t="s">
        <v>328</v>
      </c>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37.5" customHeight="1">
      <c r="A282" s="54" t="s">
        <v>318</v>
      </c>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37.5" customHeight="1">
      <c r="A283" s="54" t="s">
        <v>326</v>
      </c>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37.5" customHeight="1">
      <c r="A284" s="54" t="s">
        <v>321</v>
      </c>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37.5" customHeight="1">
      <c r="A285" s="54" t="s">
        <v>329</v>
      </c>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37.5" customHeight="1">
      <c r="A286" s="54" t="s">
        <v>333</v>
      </c>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37.5" customHeight="1">
      <c r="A287" s="54" t="s">
        <v>320</v>
      </c>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37.5" customHeight="1">
      <c r="A288" s="54" t="s">
        <v>331</v>
      </c>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37.5" customHeight="1">
      <c r="A289" s="54" t="s">
        <v>332</v>
      </c>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37.5" customHeight="1">
      <c r="A290" s="54" t="s">
        <v>336</v>
      </c>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37.5" customHeight="1">
      <c r="A291" s="54" t="s">
        <v>337</v>
      </c>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37.5" customHeight="1">
      <c r="A292" s="54" t="s">
        <v>339</v>
      </c>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37.5" customHeight="1">
      <c r="A293" s="54" t="s">
        <v>338</v>
      </c>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37.5" customHeight="1">
      <c r="A294" s="54" t="s">
        <v>340</v>
      </c>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37.5" customHeight="1">
      <c r="A295" s="54" t="s">
        <v>344</v>
      </c>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37.5" customHeight="1">
      <c r="A296" s="54" t="s">
        <v>347</v>
      </c>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37.5" customHeight="1">
      <c r="A297" s="54" t="s">
        <v>348</v>
      </c>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37.5" customHeight="1">
      <c r="A298" s="54" t="s">
        <v>345</v>
      </c>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37.5" customHeight="1">
      <c r="A299" s="54" t="s">
        <v>341</v>
      </c>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37.5" customHeight="1">
      <c r="A300" s="54" t="s">
        <v>342</v>
      </c>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37.5" customHeight="1">
      <c r="A301" s="54" t="s">
        <v>363</v>
      </c>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37.5" customHeight="1">
      <c r="A302" s="54" t="s">
        <v>355</v>
      </c>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37.5" customHeight="1">
      <c r="A303" s="54" t="s">
        <v>357</v>
      </c>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37.5" customHeight="1">
      <c r="A304" s="54" t="s">
        <v>366</v>
      </c>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37.5" customHeight="1">
      <c r="A305" s="54" t="s">
        <v>381</v>
      </c>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37.5" customHeight="1">
      <c r="A306" s="54" t="s">
        <v>353</v>
      </c>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37.5" customHeight="1">
      <c r="A307" s="54" t="s">
        <v>354</v>
      </c>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37.5" customHeight="1">
      <c r="A308" s="54" t="s">
        <v>351</v>
      </c>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37.5" customHeight="1">
      <c r="A309" s="54" t="s">
        <v>375</v>
      </c>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37.5" customHeight="1">
      <c r="A310" s="54" t="s">
        <v>377</v>
      </c>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37.5" customHeight="1">
      <c r="A311" s="54" t="s">
        <v>364</v>
      </c>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37.5" customHeight="1">
      <c r="A312" s="54" t="s">
        <v>356</v>
      </c>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37.5" customHeight="1">
      <c r="A313" s="54" t="s">
        <v>360</v>
      </c>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37.5" customHeight="1">
      <c r="A314" s="54" t="s">
        <v>372</v>
      </c>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37.5" customHeight="1">
      <c r="A315" s="54" t="s">
        <v>373</v>
      </c>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37.5" customHeight="1">
      <c r="A316" s="54" t="s">
        <v>352</v>
      </c>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37.5" customHeight="1">
      <c r="A317" s="54" t="s">
        <v>369</v>
      </c>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37.5" customHeight="1">
      <c r="A318" s="54" t="s">
        <v>358</v>
      </c>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37.5" customHeight="1">
      <c r="A319" s="54" t="s">
        <v>362</v>
      </c>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37.5" customHeight="1">
      <c r="A320" s="54" t="s">
        <v>359</v>
      </c>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37.5" customHeight="1">
      <c r="A321" s="54" t="s">
        <v>368</v>
      </c>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37.5" customHeight="1">
      <c r="A322" s="54" t="s">
        <v>371</v>
      </c>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37.5" customHeight="1">
      <c r="A323" s="54" t="s">
        <v>379</v>
      </c>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37.5" customHeight="1">
      <c r="A324" s="54" t="s">
        <v>367</v>
      </c>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37.5" customHeight="1">
      <c r="A325" s="54" t="s">
        <v>382</v>
      </c>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37.5" customHeight="1">
      <c r="A326" s="54" t="s">
        <v>374</v>
      </c>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37.5" customHeight="1">
      <c r="A327" s="54" t="s">
        <v>349</v>
      </c>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37.5" customHeight="1">
      <c r="A328" s="54" t="s">
        <v>370</v>
      </c>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37.5" customHeight="1">
      <c r="A329" s="54" t="s">
        <v>361</v>
      </c>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37.5" customHeight="1">
      <c r="A330" s="54" t="s">
        <v>380</v>
      </c>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37.5" customHeight="1">
      <c r="A331" s="54" t="s">
        <v>378</v>
      </c>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37.5" customHeight="1">
      <c r="A332" s="54" t="s">
        <v>376</v>
      </c>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37.5" customHeight="1">
      <c r="A333" s="54" t="s">
        <v>365</v>
      </c>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37.5" customHeight="1">
      <c r="A334" s="54" t="s">
        <v>395</v>
      </c>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37.5" customHeight="1">
      <c r="A335" s="54" t="s">
        <v>390</v>
      </c>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37.5" customHeight="1">
      <c r="A336" s="54" t="s">
        <v>388</v>
      </c>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37.5" customHeight="1">
      <c r="A337" s="54" t="s">
        <v>396</v>
      </c>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37.5" customHeight="1">
      <c r="A338" s="54" t="s">
        <v>389</v>
      </c>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37.5" customHeight="1">
      <c r="A339" s="54" t="s">
        <v>383</v>
      </c>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37.5" customHeight="1">
      <c r="A340" s="54" t="s">
        <v>121</v>
      </c>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37.5" customHeight="1">
      <c r="A341" s="54" t="s">
        <v>393</v>
      </c>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37.5" customHeight="1">
      <c r="A342" s="54" t="s">
        <v>392</v>
      </c>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37.5" customHeight="1">
      <c r="A343" s="54" t="s">
        <v>401</v>
      </c>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37.5" customHeight="1">
      <c r="A344" s="54" t="s">
        <v>408</v>
      </c>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37.5" customHeight="1">
      <c r="A345" s="54" t="s">
        <v>409</v>
      </c>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37.5" customHeight="1">
      <c r="A346" s="54" t="s">
        <v>414</v>
      </c>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37.5" customHeight="1">
      <c r="A347" s="54" t="s">
        <v>406</v>
      </c>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37.5" customHeight="1">
      <c r="A348" s="54" t="s">
        <v>405</v>
      </c>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37.5" customHeight="1">
      <c r="A349" s="54" t="s">
        <v>413</v>
      </c>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37.5" customHeight="1">
      <c r="A350" s="54" t="s">
        <v>410</v>
      </c>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37.5" customHeight="1">
      <c r="A351" s="54" t="s">
        <v>417</v>
      </c>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37.5" customHeight="1">
      <c r="A352" s="54" t="s">
        <v>411</v>
      </c>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37.5" customHeight="1">
      <c r="A353" s="54" t="s">
        <v>416</v>
      </c>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37.5" customHeight="1">
      <c r="A354" s="54" t="s">
        <v>415</v>
      </c>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37.5" customHeight="1">
      <c r="A355" s="54" t="s">
        <v>402</v>
      </c>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37.5" customHeight="1">
      <c r="A356" s="54" t="s">
        <v>404</v>
      </c>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37.5" customHeight="1">
      <c r="A357" s="54" t="s">
        <v>412</v>
      </c>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37.5" customHeight="1">
      <c r="A358" s="54" t="s">
        <v>407</v>
      </c>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37.5" customHeight="1">
      <c r="A359" s="54" t="s">
        <v>403</v>
      </c>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37.5" customHeight="1">
      <c r="A360" s="54" t="s">
        <v>433</v>
      </c>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37.5" customHeight="1">
      <c r="A361" s="54" t="s">
        <v>421</v>
      </c>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37.5" customHeight="1">
      <c r="A362" s="54" t="s">
        <v>422</v>
      </c>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37.5" customHeight="1">
      <c r="A363" s="54" t="s">
        <v>432</v>
      </c>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37.5" customHeight="1">
      <c r="A364" s="54" t="s">
        <v>420</v>
      </c>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37.5" customHeight="1">
      <c r="A365" s="54" t="s">
        <v>430</v>
      </c>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37.5" customHeight="1">
      <c r="A366" s="54" t="s">
        <v>427</v>
      </c>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37.5" customHeight="1">
      <c r="A367" s="54" t="s">
        <v>423</v>
      </c>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37.5" customHeight="1">
      <c r="A368" s="54" t="s">
        <v>428</v>
      </c>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37.5" customHeight="1">
      <c r="A369" s="54" t="s">
        <v>435</v>
      </c>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37.5" customHeight="1">
      <c r="A370" s="54" t="s">
        <v>437</v>
      </c>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37.5" customHeight="1">
      <c r="A371" s="54" t="s">
        <v>438</v>
      </c>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37.5" customHeight="1">
      <c r="A372" s="54" t="s">
        <v>436</v>
      </c>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37.5" customHeight="1">
      <c r="A373" s="54" t="s">
        <v>254</v>
      </c>
      <c r="B373" s="44"/>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37.5" customHeight="1">
      <c r="A374" s="55"/>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37.5" customHeight="1">
      <c r="A375" s="55"/>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37.5" customHeight="1">
      <c r="A376" s="55"/>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37.5" customHeight="1">
      <c r="A377" s="55"/>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37.5" customHeight="1">
      <c r="A378" s="55"/>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37.5" customHeight="1">
      <c r="A379" s="55"/>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37.5" customHeight="1">
      <c r="A380" s="55"/>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37.5" customHeight="1">
      <c r="A381" s="55"/>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37.5" customHeight="1">
      <c r="A382" s="55"/>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37.5" customHeight="1">
      <c r="A383" s="55"/>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37.5" customHeight="1">
      <c r="A384" s="55"/>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37.5" customHeight="1">
      <c r="A385" s="55"/>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37.5" customHeight="1">
      <c r="A386" s="55"/>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37.5" customHeight="1">
      <c r="A387" s="55"/>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37.5" customHeight="1">
      <c r="A388" s="5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37.5" customHeight="1">
      <c r="A389" s="5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37.5" customHeight="1">
      <c r="A390" s="5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37.5" customHeight="1">
      <c r="A391" s="5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37.5" customHeight="1">
      <c r="A392" s="5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37.5" customHeight="1">
      <c r="A393" s="5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37.5" customHeight="1">
      <c r="A394" s="5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37.5" customHeight="1">
      <c r="A395" s="5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37.5" customHeight="1">
      <c r="A396" s="5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37.5" customHeight="1">
      <c r="A397" s="5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37.5" customHeight="1">
      <c r="A398" s="5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37.5" customHeight="1">
      <c r="A399" s="5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37.5" customHeight="1">
      <c r="A400" s="5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37.5" customHeight="1">
      <c r="A401" s="5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37.5" customHeight="1">
      <c r="A402" s="5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37.5" customHeight="1">
      <c r="A403" s="5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37.5" customHeight="1">
      <c r="A404" s="55"/>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37.5" customHeight="1">
      <c r="A405" s="55"/>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37.5" customHeight="1">
      <c r="A406" s="55"/>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37.5" customHeight="1">
      <c r="A407" s="55"/>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37.5" customHeight="1">
      <c r="A408" s="55"/>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37.5" customHeight="1">
      <c r="A409" s="55"/>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37.5" customHeight="1">
      <c r="A410" s="55"/>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37.5" customHeight="1">
      <c r="A411" s="55"/>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37.5" customHeight="1">
      <c r="A412" s="55"/>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37.5" customHeight="1">
      <c r="A413" s="5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37.5" customHeight="1">
      <c r="A414" s="5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37.5" customHeight="1">
      <c r="A415" s="5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37.5" customHeight="1">
      <c r="A416" s="5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37.5" customHeight="1">
      <c r="A417" s="5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37.5" customHeight="1">
      <c r="A418" s="5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37.5" customHeight="1">
      <c r="A419" s="5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37.5" customHeight="1">
      <c r="A420" s="5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37.5" customHeight="1">
      <c r="A421" s="5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37.5" customHeight="1">
      <c r="A422" s="5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37.5" customHeight="1">
      <c r="A423" s="5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37.5" customHeight="1">
      <c r="A424" s="5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37.5" customHeight="1">
      <c r="A425" s="5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37.5" customHeight="1">
      <c r="A426" s="5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37.5" customHeight="1">
      <c r="A427" s="5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37.5" customHeight="1">
      <c r="A428" s="5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37.5" customHeight="1">
      <c r="A429" s="5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37.5" customHeight="1">
      <c r="A430" s="5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37.5" customHeight="1">
      <c r="A431" s="5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37.5" customHeight="1">
      <c r="A432" s="5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37.5" customHeight="1">
      <c r="A433" s="5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37.5" customHeight="1">
      <c r="A434" s="5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37.5" customHeight="1">
      <c r="A435" s="5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37.5" customHeight="1">
      <c r="A436" s="5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37.5" customHeight="1">
      <c r="A437" s="5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37.5" customHeight="1">
      <c r="A438" s="5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37.5" customHeight="1">
      <c r="A439" s="5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37.5" customHeight="1">
      <c r="A440" s="5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37.5" customHeight="1">
      <c r="A441" s="5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37.5" customHeight="1">
      <c r="A442" s="5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37.5" customHeight="1">
      <c r="A443" s="55"/>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37.5" customHeight="1">
      <c r="A444" s="55"/>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37.5" customHeight="1">
      <c r="A445" s="55"/>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37.5" customHeight="1">
      <c r="A446" s="55"/>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37.5" customHeight="1">
      <c r="A447" s="55"/>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37.5" customHeight="1">
      <c r="A448" s="55"/>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37.5" customHeight="1">
      <c r="A449" s="55"/>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37.5" customHeight="1">
      <c r="A450" s="55"/>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37.5" customHeight="1">
      <c r="A451" s="55"/>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55"/>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55"/>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55"/>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55"/>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55"/>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55"/>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55"/>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55"/>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55"/>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55"/>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55"/>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55"/>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55"/>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55"/>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55"/>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55"/>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55"/>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55"/>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55"/>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55"/>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55"/>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55"/>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55"/>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55"/>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55"/>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55"/>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55"/>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55"/>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55"/>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55"/>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55"/>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55"/>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55"/>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55"/>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55"/>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55"/>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55"/>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55"/>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55"/>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55"/>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55"/>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55"/>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55"/>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55"/>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55"/>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55"/>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55"/>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55"/>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55"/>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55"/>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55"/>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55"/>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55"/>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55"/>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55"/>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55"/>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55"/>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55"/>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55"/>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55"/>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55"/>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55"/>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55"/>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55"/>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55"/>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55"/>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55"/>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55"/>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55"/>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55"/>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55"/>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55"/>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55"/>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55"/>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55"/>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55"/>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55"/>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55"/>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55"/>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55"/>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55"/>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55"/>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55"/>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55"/>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55"/>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55"/>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55"/>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55"/>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55"/>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55"/>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55"/>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55"/>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55"/>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55"/>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55"/>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55"/>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55"/>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55"/>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55"/>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55"/>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55"/>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55"/>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55"/>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55"/>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55"/>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55"/>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55"/>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55"/>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55"/>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55"/>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55"/>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55"/>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55"/>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55"/>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55"/>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55"/>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55"/>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55"/>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55"/>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55"/>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55"/>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55"/>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55"/>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55"/>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55"/>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55"/>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55"/>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55"/>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55"/>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55"/>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55"/>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55"/>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55"/>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55"/>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55"/>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55"/>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55"/>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55"/>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55"/>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55"/>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55"/>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55"/>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55"/>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55"/>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55"/>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55"/>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55"/>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55"/>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55"/>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55"/>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55"/>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55"/>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55"/>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55"/>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55"/>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55"/>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55"/>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55"/>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55"/>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55"/>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55"/>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55"/>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55"/>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55"/>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55"/>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55"/>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55"/>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55"/>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55"/>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55"/>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55"/>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55"/>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55"/>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55"/>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55"/>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55"/>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55"/>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55"/>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55"/>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55"/>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55"/>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55"/>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55"/>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55"/>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55"/>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55"/>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55"/>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55"/>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55"/>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55"/>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55"/>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55"/>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55"/>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55"/>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55"/>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55"/>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55"/>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55"/>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55"/>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55"/>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55"/>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55"/>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55"/>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55"/>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55"/>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55"/>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55"/>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55"/>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55"/>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55"/>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55"/>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55"/>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55"/>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55"/>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55"/>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55"/>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55"/>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55"/>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55"/>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55"/>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55"/>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55"/>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55"/>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55"/>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55"/>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55"/>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55"/>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55"/>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55"/>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55"/>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55"/>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55"/>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55"/>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55"/>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55"/>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55"/>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55"/>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55"/>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55"/>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55"/>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55"/>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55"/>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55"/>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55"/>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55"/>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55"/>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55"/>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55"/>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55"/>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55"/>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55"/>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55"/>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55"/>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55"/>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55"/>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55"/>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55"/>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55"/>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55"/>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55"/>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55"/>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55"/>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55"/>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55"/>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55"/>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55"/>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55"/>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55"/>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55"/>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55"/>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55"/>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55"/>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55"/>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55"/>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55"/>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55"/>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55"/>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55"/>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55"/>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55"/>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55"/>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55"/>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55"/>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55"/>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55"/>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55"/>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55"/>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55"/>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55"/>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55"/>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55"/>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55"/>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55"/>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55"/>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55"/>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55"/>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55"/>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55"/>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55"/>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55"/>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55"/>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55"/>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55"/>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55"/>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55"/>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55"/>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55"/>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55"/>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55"/>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55"/>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55"/>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55"/>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55"/>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55"/>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55"/>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55"/>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55"/>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55"/>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55"/>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55"/>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55"/>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55"/>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55"/>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55"/>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55"/>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55"/>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55"/>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55"/>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55"/>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55"/>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55"/>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55"/>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55"/>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55"/>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55"/>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55"/>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55"/>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55"/>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55"/>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55"/>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55"/>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55"/>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55"/>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55"/>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55"/>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55"/>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55"/>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55"/>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55"/>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55"/>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55"/>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55"/>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55"/>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55"/>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55"/>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55"/>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55"/>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55"/>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55"/>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55"/>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55"/>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55"/>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55"/>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55"/>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55"/>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55"/>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55"/>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55"/>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55"/>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55"/>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55"/>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55"/>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55"/>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55"/>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55"/>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55"/>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55"/>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55"/>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55"/>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55"/>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55"/>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55"/>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55"/>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55"/>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55"/>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55"/>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55"/>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55"/>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55"/>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55"/>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55"/>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55"/>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55"/>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55"/>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55"/>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55"/>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55"/>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55"/>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55"/>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55"/>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55"/>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55"/>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55"/>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55"/>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55"/>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55"/>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55"/>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55"/>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55"/>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55"/>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55"/>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55"/>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55"/>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55"/>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55"/>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55"/>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55"/>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55"/>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55"/>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55"/>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55"/>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55"/>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55"/>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55"/>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55"/>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55"/>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55"/>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55"/>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55"/>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55"/>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55"/>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55"/>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55"/>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55"/>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55"/>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55"/>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55"/>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55"/>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55"/>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55"/>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55"/>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55"/>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55"/>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55"/>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55"/>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55"/>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55"/>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55"/>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55"/>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55"/>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55"/>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55"/>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55"/>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55"/>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55"/>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55"/>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55"/>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55"/>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55"/>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55"/>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55"/>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55"/>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55"/>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55"/>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55"/>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55"/>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55"/>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55"/>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55"/>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55"/>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55"/>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55"/>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55"/>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55"/>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55"/>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55"/>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55"/>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55"/>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55"/>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55"/>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55"/>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55"/>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55"/>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55"/>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55"/>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55"/>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55"/>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55"/>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55"/>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55"/>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55"/>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55"/>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55"/>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55"/>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55"/>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55"/>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55"/>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55"/>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55"/>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55"/>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55"/>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55"/>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55"/>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55"/>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55"/>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55"/>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55"/>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55"/>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55"/>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55"/>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55"/>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55"/>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55"/>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55"/>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55"/>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55"/>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55"/>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55"/>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55"/>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55"/>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55"/>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55"/>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55"/>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55"/>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55"/>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55"/>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55"/>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55"/>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55"/>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55"/>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55"/>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55"/>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55"/>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55"/>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55"/>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55"/>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55"/>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55"/>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55"/>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55"/>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55"/>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55"/>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55"/>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55"/>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55"/>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55"/>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55"/>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55"/>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55"/>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c r="A1001" s="55"/>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c r="A1002" s="55"/>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c r="A1003" s="55"/>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c r="A1004" s="55"/>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row r="1005">
      <c r="A1005" s="55"/>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row>
  </sheetData>
  <drawing r:id="rId1"/>
</worksheet>
</file>